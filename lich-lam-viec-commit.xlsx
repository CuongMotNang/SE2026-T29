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a9e37cbb8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1f3a626fc81e4849"/>
    <x:sheet xmlns:r="http://schemas.openxmlformats.org/officeDocument/2006/relationships" name="Lịch chi tiết" sheetId="2" r:id="R432c4e914f1840b6"/>
    <x:sheet xmlns:r="http://schemas.openxmlformats.org/officeDocument/2006/relationships" name="Tổng hợp" sheetId="3" r:id="R21aea104553e43d9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B4" authorId="0">
      <x:text>
        <x:r>
          <x:t>Giả định: tuần 1 bắt đầu 26/10/2026. Sửa ô này nếu lịch thật khác; cột Ngày tự cập nhật.</x:t>
        </x:r>
      </x:text>
    </x:comment>
  </x:commentList>
</x:comments>
</file>

<file path=xl/comments2.xml><?xml version="1.0" encoding="utf-8"?>
<x:comments xmlns:x="http://schemas.openxmlformats.org/spreadsheetml/2006/main">
  <x:authors>
    <x:author>Unknown Author</x:author>
  </x:authors>
  <x:commentList>
    <x:comment ref="B2" authorId="0">
      <x:text>
        <x:r>
          <x:t>Mục tiêu 10 commit/người/tuần theo yêu cầu của nhóm.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/mm/yyyy"/>
    <x:numFmt numFmtId="200" formatCode="@"/>
  </x:numFmts>
  <x:fonts count="11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b/>
      <x:sz val="10"/>
      <x:name val="Arial"/>
    </x:font>
    <x:font>
      <x:sz val="10"/>
      <x:name val="Arial"/>
    </x:font>
    <x:font>
      <x:i/>
      <x:sz val="9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50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top" wrapText="1"/>
    </x:xf>
    <x:xf numFmtId="0" fontId="6" fillId="0" borderId="0" xfId="0" applyAlignment="1">
      <x:alignment horizontal="general" vertical="top" wrapText="1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164" fontId="8" fillId="2" borderId="0" xfId="0" applyAlignment="1">
      <x:alignment horizontal="general" vertical="bottom"/>
    </x:xf>
    <x:xf numFmtId="0" fontId="9" fillId="3" borderId="1" xfId="0" applyAlignment="1">
      <x:alignment horizontal="center" vertical="top" wrapText="1"/>
    </x:xf>
    <x:xf numFmtId="0" fontId="6" fillId="4" borderId="1" xfId="0" applyAlignment="1">
      <x:alignment horizontal="center" vertical="top" wrapText="1"/>
    </x:xf>
    <x:xf numFmtId="164" fontId="6" fillId="4" borderId="1" xfId="0" applyAlignment="1">
      <x:alignment horizontal="center" vertical="top" wrapText="1"/>
    </x:xf>
    <x:xf numFmtId="0" fontId="6" fillId="4" borderId="1" xfId="0" applyAlignment="1">
      <x:alignment horizontal="general" vertical="top" wrapText="1"/>
    </x:xf>
    <x:xf numFmtId="0" fontId="8" fillId="2" borderId="1" xfId="0" applyAlignment="1">
      <x:alignment horizontal="center" vertical="top" wrapText="1"/>
    </x:xf>
    <x:xf numFmtId="0" fontId="8" fillId="2" borderId="1" xfId="0" applyAlignment="1">
      <x:alignment horizontal="general" vertical="top" wrapText="1"/>
    </x:xf>
    <x:xf numFmtId="0" fontId="6" fillId="5" borderId="1" xfId="0" applyAlignment="1">
      <x:alignment horizontal="center" vertical="top" wrapText="1"/>
    </x:xf>
    <x:xf numFmtId="164" fontId="6" fillId="5" borderId="1" xfId="0" applyAlignment="1">
      <x:alignment horizontal="center" vertical="top" wrapText="1"/>
    </x:xf>
    <x:xf numFmtId="0" fontId="6" fillId="5" borderId="1" xfId="0" applyAlignment="1">
      <x:alignment horizontal="general" vertical="top" wrapText="1"/>
    </x:xf>
    <x:xf numFmtId="0" fontId="8" fillId="2" borderId="0" xfId="0" applyAlignment="1">
      <x:alignment horizontal="general" vertical="bottom"/>
    </x:xf>
    <x:xf numFmtId="0" fontId="6" fillId="0" borderId="1" xfId="0" applyAlignment="1">
      <x:alignment horizontal="general" vertical="bottom"/>
    </x:xf>
    <x:xf numFmtId="0" fontId="6" fillId="0" borderId="1" xfId="0" applyAlignment="1">
      <x:alignment horizontal="center" vertical="top" wrapText="1"/>
    </x:xf>
    <x:xf numFmtId="0" fontId="5" fillId="0" borderId="1" xfId="0" applyAlignment="1">
      <x:alignment horizontal="center" vertical="top" wrapText="1"/>
    </x:xf>
    <x:xf numFmtId="0" fontId="5" fillId="0" borderId="1" xfId="0" applyAlignment="1">
      <x:alignment horizontal="general" vertical="bottom"/>
    </x:xf>
    <x:xf numFmtId="9" fontId="6" fillId="0" borderId="1" xfId="0" applyAlignment="1">
      <x:alignment horizontal="center" vertical="top" wrapText="1"/>
    </x:xf>
    <x:xf numFmtId="9" fontId="5" fillId="0" borderId="1" xfId="0" applyAlignment="1">
      <x:alignment horizontal="center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top" wrapText="1"/>
    </x:xf>
    <x:xf numFmtId="0" fontId="6" fillId="0" borderId="0" xfId="0" applyAlignment="1">
      <x:alignment horizontal="general" vertical="top" wrapText="1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164" fontId="8" fillId="2" borderId="0" xfId="0" applyAlignment="1">
      <x:alignment horizontal="general" vertical="bottom"/>
    </x:xf>
    <x:xf numFmtId="0" fontId="9" fillId="3" borderId="1" xfId="0" applyAlignment="1">
      <x:alignment horizontal="center" vertical="top" wrapText="1"/>
    </x:xf>
    <x:xf numFmtId="0" fontId="6" fillId="4" borderId="1" xfId="0" applyAlignment="1">
      <x:alignment horizontal="center" vertical="top" wrapText="1"/>
    </x:xf>
    <x:xf numFmtId="164" fontId="6" fillId="4" borderId="1" xfId="0" applyAlignment="1">
      <x:alignment horizontal="center" vertical="top" wrapText="1"/>
    </x:xf>
    <x:xf numFmtId="0" fontId="6" fillId="4" borderId="1" xfId="0" applyAlignment="1">
      <x:alignment horizontal="general" vertical="top" wrapText="1"/>
    </x:xf>
    <x:xf numFmtId="0" fontId="8" fillId="2" borderId="1" xfId="0" applyAlignment="1">
      <x:alignment horizontal="center" vertical="top" wrapText="1"/>
    </x:xf>
    <x:xf numFmtId="0" fontId="8" fillId="2" borderId="1" xfId="0" applyAlignment="1">
      <x:alignment horizontal="general" vertical="top" wrapText="1"/>
    </x:xf>
    <x:xf numFmtId="0" fontId="6" fillId="5" borderId="1" xfId="0" applyAlignment="1">
      <x:alignment horizontal="center" vertical="top" wrapText="1"/>
    </x:xf>
    <x:xf numFmtId="164" fontId="6" fillId="5" borderId="1" xfId="0" applyAlignment="1">
      <x:alignment horizontal="center" vertical="top" wrapText="1"/>
    </x:xf>
    <x:xf numFmtId="0" fontId="6" fillId="5" borderId="1" xfId="0" applyAlignment="1">
      <x:alignment horizontal="general" vertical="top" wrapText="1"/>
    </x:xf>
    <x:xf numFmtId="0" fontId="8" fillId="2" borderId="0" xfId="0" applyAlignment="1">
      <x:alignment horizontal="general" vertical="bottom"/>
    </x:xf>
    <x:xf numFmtId="0" fontId="6" fillId="0" borderId="1" xfId="0" applyAlignment="1">
      <x:alignment horizontal="general" vertical="bottom"/>
    </x:xf>
    <x:xf numFmtId="0" fontId="6" fillId="0" borderId="1" xfId="0" applyAlignment="1">
      <x:alignment horizontal="center" vertical="top" wrapText="1"/>
    </x:xf>
    <x:xf numFmtId="0" fontId="5" fillId="0" borderId="1" xfId="0" applyAlignment="1">
      <x:alignment horizontal="center" vertical="top" wrapText="1"/>
    </x:xf>
    <x:xf numFmtId="0" fontId="5" fillId="0" borderId="1" xfId="0" applyAlignment="1">
      <x:alignment horizontal="general" vertical="bottom"/>
    </x:xf>
    <x:xf numFmtId="9" fontId="6" fillId="0" borderId="1" xfId="0" applyAlignment="1">
      <x:alignment horizontal="center" vertical="top" wrapText="1"/>
    </x:xf>
    <x:xf numFmtId="9" fontId="5" fillId="0" borderId="1" xfId="0" applyAlignment="1">
      <x:alignment horizontal="center" vertical="top" wrapText="1"/>
    </x:xf>
    <x:xf numFmtId="200" fontId="8" fillId="2" borderId="1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11">
    <x:dxf>
      <x:fill>
        <x:patternFill>
          <x:bgColor rgb="FF1F4E78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0000FF"/>
        </x:patternFill>
      </x:fill>
    </x:dxf>
    <x:dxf>
      <x:font>
        <x:color rgb="FF006100"/>
        <x:name val="Arial"/>
      </x:font>
      <x:fill>
        <x:patternFill>
          <x:bgColor rgb="FFC6EFCE"/>
        </x:patternFill>
      </x:fill>
    </x:dxf>
    <x:dxf>
      <x:font>
        <x:color rgb="FF1F4E78"/>
        <x:name val="Arial"/>
      </x:font>
      <x:fill>
        <x:patternFill>
          <x:bgColor rgb="FFDDEBF7"/>
        </x:patternFill>
      </x:fill>
    </x:dxf>
    <x:dxf>
      <x:font>
        <x:color rgb="FF9C0006"/>
        <x:name val="Arial"/>
      </x:font>
      <x:fill>
        <x:patternFill>
          <x:bgColor rgb="FFFFC7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DDEB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C6EFCE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0556b98714fcd" /><Relationship Type="http://schemas.openxmlformats.org/officeDocument/2006/relationships/theme" Target="/xl/theme/theme1.xml" Id="R58fd3eacaf3c4d2f" /><Relationship Type="http://schemas.openxmlformats.org/officeDocument/2006/relationships/sharedStrings" Target="/xl/sharedStrings.xml" Id="Rf3feeae0f4b442c1" /><Relationship Type="http://schemas.openxmlformats.org/officeDocument/2006/relationships/worksheet" Target="/xl/worksheets/sheet1.xml" Id="R1f3a626fc81e4849" /><Relationship Type="http://schemas.openxmlformats.org/officeDocument/2006/relationships/worksheet" Target="/xl/worksheets/sheet2.xml" Id="R432c4e914f1840b6" /><Relationship Type="http://schemas.openxmlformats.org/officeDocument/2006/relationships/worksheet" Target="/xl/worksheets/sheet3.xml" Id="R21aea104553e43d9" /><Relationship Type="http://schemas.microsoft.com/office/2017/10/relationships/person" Target="/xl/persons/person.xml" Id="Rc76b4dcf556249c4" /></Relationships>
</file>

<file path=xl/persons/person.xml><?xml version="1.0" encoding="utf-8"?>
<xltc:personList xmlns:xltc="http://schemas.microsoft.com/office/spreadsheetml/2018/threadedcomments">
  <xltc:person displayName="Unknown Author" id="{09E50F35-9990-EAB6-273F-1308EFEFFEA7}"/>
  <xltc:person displayName="Unknown Author" id="{A20C2834-9A8F-2C9C-E3AD-836291CC35DC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0af922f8d10498f" /><Relationship Type="http://schemas.openxmlformats.org/officeDocument/2006/relationships/vmlDrawing" Target="/xl/drawings/vmldrawing.vml" Id="Ra4812b5cc7f7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e1faa994a01844ee" /><Relationship Type="http://schemas.openxmlformats.org/officeDocument/2006/relationships/vmlDrawing" Target="/xl/drawings/vmldrawing2.vml" Id="Rb51e003be7bd41a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4" style="24" customWidth="1"/>
    <x:col min="2" max="2" width="110" style="24" customWidth="1"/>
  </x:cols>
  <x:sheetData>
    <x:row r="1" s="25" customFormat="1" ht="17.350000381469727" customHeight="1">
      <x:c r="A1" s="26" t="inlineStr">
        <x:is>
          <x:t xml:space="preserve">Lịch làm việc theo commit — SE2026-T29</x:t>
        </x:is>
      </x:c>
    </x:row>
    <x:row r="3" s="25" customFormat="1" ht="15" customHeight="1">
      <x:c r="A3" s="27" t="inlineStr">
        <x:is>
          <x:t xml:space="preserve">Mục tiêu</x:t>
        </x:is>
      </x:c>
      <x:c r="B3" s="28" t="inlineStr">
        <x:is>
          <x:t xml:space="preserve">Mỗi thành viên có 10 commit có ý nghĩa mỗi tuần (2 commit/ngày, thứ 2 – thứ 6), bám theo phân công trong phan-cong-cong-viec.md.</x:t>
        </x:is>
      </x:c>
    </x:row>
    <x:row r="4" s="25" customFormat="1" ht="15" customHeight="1">
      <x:c r="A4" s="27" t="inlineStr">
        <x:is>
          <x:t xml:space="preserve">Khoảng thời gian</x:t>
        </x:is>
      </x:c>
      <x:c r="B4" s="28" t="inlineStr">
        <x:is>
          <x:t xml:space="preserve">5 tuần, từ 26/10/2026 đến 29/11/2026. Giả định do Claude đặt; sửa ô B4 ở sheet 'Lịch chi tiết' nếu bắt đầu ngày khác.</x:t>
        </x:is>
      </x:c>
    </x:row>
    <x:row r="5" s="25" customFormat="1" ht="15" customHeight="1">
      <x:c r="A5" s="27" t="inlineStr">
        <x:is>
          <x:t xml:space="preserve">Cách dùng</x:t>
        </x:is>
      </x:c>
      <x:c r="B5" s="28" t="inlineStr">
        <x:is>
          <x:t xml:space="preserve">Mở sheet 'Lịch chi tiết', lọc cột 'Thành viên' để xem việc của mình. Sau mỗi commit: đổi 'Trạng thái' và dán hash hoặc link commit.</x:t>
        </x:is>
      </x:c>
    </x:row>
    <x:row r="6" s="25" customFormat="1" ht="15" customHeight="1">
      <x:c r="A6" s="27" t="inlineStr">
        <x:is>
          <x:t xml:space="preserve">Ô cần điền</x:t>
        </x:is>
      </x:c>
      <x:c r="B6" s="28" t="inlineStr">
        <x:is>
          <x:t xml:space="preserve">Chỉ các ô nền vàng, chữ xanh: 'Trạng thái', 'Commit hash / link', 'Ghi chú'. Các cột khác là kế hoạch.</x:t>
        </x:is>
      </x:c>
    </x:row>
    <x:row r="7" s="25" customFormat="1" ht="15" customHeight="1">
      <x:c r="A7" s="27" t="inlineStr">
        <x:is>
          <x:t xml:space="preserve">Trạng thái</x:t>
        </x:is>
      </x:c>
      <x:c r="B7" s="28" t="inlineStr">
        <x:is>
          <x:t xml:space="preserve">Todo · Đang làm · Done · Dời — chọn từ danh sách thả xuống.</x:t>
        </x:is>
      </x:c>
    </x:row>
    <x:row r="8" s="25" customFormat="1" ht="15" customHeight="1">
      <x:c r="A8" s="27" t="inlineStr">
        <x:is>
          <x:t xml:space="preserve">Theo dõi</x:t>
        </x:is>
      </x:c>
      <x:c r="B8" s="28" t="inlineStr">
        <x:is>
          <x:t xml:space="preserve">Sheet 'Tổng hợp' tự đếm số commit kế hoạch và số commit Done của từng người theo tuần (công thức COUNTIFS).</x:t>
        </x:is>
      </x:c>
    </x:row>
    <x:row r="9" s="25" customFormat="1" ht="23.850000381469727" customHeight="1">
      <x:c r="A9" s="27" t="inlineStr">
        <x:is>
          <x:t xml:space="preserve">Nguyên tắc commit</x:t>
        </x:is>
      </x:c>
      <x:c r="B9" s="28" t="inlineStr">
        <x:is>
          <x:t xml:space="preserve">Mỗi commit là một thay đổi nhỏ, hoàn chỉnh, build/test vẫn pass. Không tách nhỏ giả tạo hay commit rỗng để đủ số: giảng viên xem nội dung diff, không chỉ đếm.</x:t>
        </x:is>
      </x:c>
    </x:row>
    <x:row r="10" s="25" customFormat="1" ht="23.850000381469727" customHeight="1">
      <x:c r="A10" s="27" t="inlineStr">
        <x:is>
          <x:t xml:space="preserve">Nhánh và PR</x:t>
        </x:is>
      </x:c>
      <x:c r="B10" s="28" t="inlineStr">
        <x:is>
          <x:t xml:space="preserve">Mỗi người một nhánh mỗi tuần (cột 'Nhánh'), mở PR vào main cuối tuần hoặc sớm hơn khi xong một phần. PR cần CI xanh và 1 người review.</x:t>
        </x:is>
      </x:c>
    </x:row>
    <x:row r="11" s="25" customFormat="1" ht="15" customHeight="1">
      <x:c r="A11" s="27" t="inlineStr">
        <x:is>
          <x:t xml:space="preserve">Commit message</x:t>
        </x:is>
      </x:c>
      <x:c r="B11" s="28" t="inlineStr">
        <x:is>
          <x:t xml:space="preserve">Conventional Commits, tiếng Anh như repo hiện tại. Message trong lịch là gợi ý, được sửa cho đúng thay đổi thực tế.</x:t>
        </x:is>
      </x:c>
    </x:row>
    <x:row r="12" s="25" customFormat="1" ht="15" customHeight="1">
      <x:c r="A12" s="27" t="inlineStr">
        <x:is>
          <x:t xml:space="preserve">Khi bị chặn</x:t>
        </x:is>
      </x:c>
      <x:c r="B12" s="28" t="inlineStr">
        <x:is>
          <x:t xml:space="preserve">Nếu việc phụ thuộc chưa xong (cột 'Phụ thuộc'), đổi sang commit khác trong tuần và ghi chú; báo nhóm trong buổi daily.</x:t>
        </x:is>
      </x:c>
    </x:row>
    <x:row r="13" s="25" customFormat="1" ht="15" customHeight="1">
      <x:c r="A13" s="27" t="inlineStr">
        <x:is>
          <x:t xml:space="preserve">Việc 'nếu có'</x:t>
        </x:is>
      </x:c>
      <x:c r="B13" s="28" t="inlineStr">
        <x:is>
          <x:t xml:space="preserve">Một số commit sửa lỗi sau diễn tập ghi 'Nếu có'. Không có lỗi thì thay bằng việc khác cùng hạng mục và ghi chú.</x:t>
        </x:is>
      </x:c>
    </x:row>
    <x:row r="15" s="25" customFormat="1" ht="15" customHeight="1">
      <x:c r="A15" s="29" t="inlineStr">
        <x:is>
          <x:t xml:space="preserve">Chủ đề từng tuần</x:t>
        </x:is>
      </x:c>
    </x:row>
    <x:row r="16" s="25" customFormat="1" ht="15" customHeight="1">
      <x:c r="A16" s="30" t="inlineStr">
        <x:is>
          <x:t xml:space="preserve">Tuần 1</x:t>
        </x:is>
      </x:c>
      <x:c r="B16" s="28" t="inlineStr">
        <x:is>
          <x:t xml:space="preserve">Nền móng: CI, fault injection, khung UI, khung telemetry, manifest</x:t>
        </x:is>
      </x:c>
    </x:row>
    <x:row r="17" s="25" customFormat="1" ht="15" customHeight="1">
      <x:c r="A17" s="30" t="inlineStr">
        <x:is>
          <x:t xml:space="preserve">Tuần 2</x:t>
        </x:is>
      </x:c>
      <x:c r="B17" s="28" t="inlineStr">
        <x:is>
          <x:t xml:space="preserve">Hoàn thiện lõi: CD lên máy demo, log JSON, UI đặt/huỷ, metrics, k6</x:t>
        </x:is>
      </x:c>
    </x:row>
    <x:row r="18" s="25" customFormat="1" ht="15" customHeight="1">
      <x:c r="A18" s="30" t="inlineStr">
        <x:is>
          <x:t xml:space="preserve">Tuần 3</x:t>
        </x:is>
      </x:c>
      <x:c r="B18" s="28" t="inlineStr">
        <x:is>
          <x:t xml:space="preserve">Tích hợp: stack observability, span/metric nghiệp vụ, E2E, dashboard, drill tools</x:t>
        </x:is>
      </x:c>
    </x:row>
    <x:row r="19" s="25" customFormat="1" ht="15" customHeight="1">
      <x:c r="A19" s="30" t="inlineStr">
        <x:is>
          <x:t xml:space="preserve">Tuần 4</x:t>
        </x:is>
      </x:c>
      <x:c r="B19" s="28" t="inlineStr">
        <x:is>
          <x:t xml:space="preserve">Cảnh báo và tập dượt: alert rules, Alertmanager, E2E trong CI, diễn tập lần 1</x:t>
        </x:is>
      </x:c>
    </x:row>
    <x:row r="20" s="25" customFormat="1" ht="15" customHeight="1">
      <x:c r="A20" s="30" t="inlineStr">
        <x:is>
          <x:t xml:space="preserve">Tuần 5</x:t>
        </x:is>
      </x:c>
      <x:c r="B20" s="28" t="inlineStr">
        <x:is>
          <x:t xml:space="preserve">Trình diễn: incident drill chính thức, evidence E01–E16, báo cáo, slide</x:t>
        </x:is>
      </x:c>
    </x:row>
    <x:row r="22" s="25" customFormat="1" ht="15" customHeight="1">
      <x:c r="A22" s="29" t="inlineStr">
        <x:is>
          <x:t xml:space="preserve">Thành viên</x:t>
        </x:is>
      </x:c>
    </x:row>
    <x:row r="23" s="25" customFormat="1" ht="15" customHeight="1">
      <x:c r="A23" s="30" t="inlineStr">
        <x:is>
          <x:t xml:space="preserve">Nguyễn Mai Hoàng Anh</x:t>
        </x:is>
      </x:c>
      <x:c r="B23" s="30" t="inlineStr">
        <x:is>
          <x:t xml:space="preserve">DevOps — CI/CD + hạ tầng monitoring</x:t>
        </x:is>
      </x:c>
    </x:row>
    <x:row r="24" s="25" customFormat="1" ht="15" customHeight="1">
      <x:c r="A24" s="30" t="inlineStr">
        <x:is>
          <x:t xml:space="preserve">Phạm Minh Cương</x:t>
        </x:is>
      </x:c>
      <x:c r="B24" s="30" t="inlineStr">
        <x:is>
          <x:t xml:space="preserve">Backend + kiến trúc</x:t>
        </x:is>
      </x:c>
    </x:row>
    <x:row r="25" s="25" customFormat="1" ht="15" customHeight="1">
      <x:c r="A25" s="30" t="inlineStr">
        <x:is>
          <x:t xml:space="preserve">Lê Văn Cường</x:t>
        </x:is>
      </x:c>
      <x:c r="B25" s="30" t="inlineStr">
        <x:is>
          <x:t xml:space="preserve">Frontend + E2E</x:t>
        </x:is>
      </x:c>
    </x:row>
    <x:row r="26" s="25" customFormat="1" ht="15" customHeight="1">
      <x:c r="A26" s="30" t="inlineStr">
        <x:is>
          <x:t xml:space="preserve">Nguyễn Việt Anh</x:t>
        </x:is>
      </x:c>
      <x:c r="B26" s="30" t="inlineStr">
        <x:is>
          <x:t xml:space="preserve">Release + độ tin cậy</x:t>
        </x:is>
      </x:c>
    </x:row>
    <x:row r="27" s="25" customFormat="1" ht="15" customHeight="1">
      <x:c r="A27" s="30" t="inlineStr">
        <x:is>
          <x:t xml:space="preserve">Vũ Thành Công</x:t>
        </x:is>
      </x:c>
      <x:c r="B27" s="30" t="inlineStr">
        <x:is>
          <x:t xml:space="preserve">Observability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5" ySplit="6" topLeftCell="F7" activePane="bottomRight" state="frozen"/>
    </x:sheetView>
  </x:sheetViews>
  <x:sheetFormatPr baseColWidth="8" defaultColWidth="8.6796875" defaultRowHeight="15"/>
  <x:cols>
    <x:col min="1" max="1" width="7" style="24" customWidth="1"/>
    <x:col min="2" max="2" width="6" style="24" customWidth="1"/>
    <x:col min="3" max="3" width="11" style="24" customWidth="1"/>
    <x:col min="4" max="4" width="7" style="24" customWidth="1"/>
    <x:col min="5" max="6" width="22" style="24" customWidth="1"/>
    <x:col min="7" max="7" width="10" style="24" customWidth="1"/>
    <x:col min="8" max="8" width="30" style="24" customWidth="1"/>
    <x:col min="9" max="9" width="8" style="24" customWidth="1"/>
    <x:col min="10" max="10" width="52" style="24" customWidth="1"/>
    <x:col min="11" max="11" width="44" style="24" customWidth="1"/>
    <x:col min="12" max="12" width="26" style="24" customWidth="1"/>
    <x:col min="13" max="13" width="11" style="24" customWidth="1"/>
    <x:col min="14" max="14" width="22" style="24" customWidth="1"/>
    <x:col min="15" max="15" width="24" style="24" customWidth="1"/>
  </x:cols>
  <x:sheetData>
    <x:row r="1" s="25" customFormat="1" ht="17.350000381469727" customHeight="1">
      <x:c r="A1" s="26" t="inlineStr">
        <x:is>
          <x:t xml:space="preserve">Lịch commit chi tiết</x:t>
        </x:is>
      </x:c>
    </x:row>
    <x:row r="2" s="25" customFormat="1" ht="15" customHeight="1">
      <x:c r="A2" s="31" t="inlineStr">
        <x:is>
          <x:t xml:space="preserve">Ô nền vàng chữ xanh là ô cần điền. Ngày được tính từ ngày bắt đầu ở ô B4.</x:t>
        </x:is>
      </x:c>
    </x:row>
    <x:row r="4" s="25" customFormat="1" ht="15" customHeight="1">
      <x:c r="A4" s="29" t="inlineStr">
        <x:is>
          <x:t xml:space="preserve">Ngày bắt đầu (thứ 2 tuần 1)</x:t>
        </x:is>
      </x:c>
      <x:c r="B4" s="32" t="n">
        <x:v>46321</x:v>
      </x:c>
    </x:row>
    <x:row r="6" s="25" customFormat="1" ht="57.45000076293945" customHeight="1">
      <x:c r="A6" s="33" t="inlineStr">
        <x:is>
          <x:t xml:space="preserve">ID</x:t>
        </x:is>
      </x:c>
      <x:c r="B6" s="33" t="inlineStr">
        <x:is>
          <x:t xml:space="preserve">Tuần</x:t>
        </x:is>
      </x:c>
      <x:c r="C6" s="33" t="inlineStr">
        <x:is>
          <x:t xml:space="preserve">Ngày</x:t>
        </x:is>
      </x:c>
      <x:c r="D6" s="33" t="inlineStr">
        <x:is>
          <x:t xml:space="preserve">Thứ</x:t>
        </x:is>
      </x:c>
      <x:c r="E6" s="33" t="inlineStr">
        <x:is>
          <x:t xml:space="preserve">Thành viên</x:t>
        </x:is>
      </x:c>
      <x:c r="F6" s="33" t="inlineStr">
        <x:is>
          <x:t xml:space="preserve">Role</x:t>
        </x:is>
      </x:c>
      <x:c r="G6" s="33" t="inlineStr">
        <x:is>
          <x:t xml:space="preserve">Task</x:t>
        </x:is>
      </x:c>
      <x:c r="H6" s="33" t="inlineStr">
        <x:is>
          <x:t xml:space="preserve">Nhánh</x:t>
        </x:is>
      </x:c>
      <x:c r="I6" s="33" t="inlineStr">
        <x:is>
          <x:t xml:space="preserve">STT commit trong tuần</x:t>
        </x:is>
      </x:c>
      <x:c r="J6" s="33" t="inlineStr">
        <x:is>
          <x:t xml:space="preserve">Commit message (gợi ý)</x:t>
        </x:is>
      </x:c>
      <x:c r="K6" s="33" t="inlineStr">
        <x:is>
          <x:t xml:space="preserve">Việc cần làm</x:t>
        </x:is>
      </x:c>
      <x:c r="L6" s="33" t="inlineStr">
        <x:is>
          <x:t xml:space="preserve">Phụ thuộc</x:t>
        </x:is>
      </x:c>
      <x:c r="M6" s="33" t="inlineStr">
        <x:is>
          <x:t xml:space="preserve">Trạng thái</x:t>
        </x:is>
      </x:c>
      <x:c r="N6" s="33" t="inlineStr">
        <x:is>
          <x:t xml:space="preserve">Commit hash / link</x:t>
        </x:is>
      </x:c>
      <x:c r="O6" s="33" t="inlineStr">
        <x:is>
          <x:t xml:space="preserve">Ghi chú</x:t>
        </x:is>
      </x:c>
    </x:row>
    <x:row r="7" s="25" customFormat="1" ht="23.850000381469727" customHeight="1">
      <x:c r="A7" s="34" t="inlineStr">
        <x:is>
          <x:t xml:space="preserve">C001</x:t>
        </x:is>
      </x:c>
      <x:c r="B7" s="34" t="n">
        <x:v>1</x:v>
      </x:c>
      <x:c r="C7" s="35" t="n">
        <x:f>$B$4+0</x:f>
        <x:v>46321</x:v>
      </x:c>
      <x:c r="D7" s="34" t="inlineStr">
        <x:is>
          <x:t xml:space="preserve">Thứ 2</x:t>
        </x:is>
      </x:c>
      <x:c r="E7" s="36" t="inlineStr">
        <x:is>
          <x:t xml:space="preserve">Nguyễn Mai Hoàng Anh</x:t>
        </x:is>
      </x:c>
      <x:c r="F7" s="36" t="inlineStr">
        <x:is>
          <x:t xml:space="preserve">DevOps — CI/CD + hạ tầng monitoring</x:t>
        </x:is>
      </x:c>
      <x:c r="G7" s="34" t="inlineStr">
        <x:is>
          <x:t xml:space="preserve">TASK-004</x:t>
        </x:is>
      </x:c>
      <x:c r="H7" s="36" t="inlineStr">
        <x:is>
          <x:t xml:space="preserve">feat/task-004-ci-hardening</x:t>
        </x:is>
      </x:c>
      <x:c r="I7" s="34" t="n">
        <x:v>1</x:v>
      </x:c>
      <x:c r="J7" s="36" t="inlineStr">
        <x:is>
          <x:t xml:space="preserve">ci: add concurrency group and pip cache to ci workflow</x:t>
        </x:is>
      </x:c>
      <x:c r="K7" s="36" t="inlineStr">
        <x:is>
          <x:t xml:space="preserve">Huỷ run cũ khi push mới; cache pip để CI nhanh hơn</x:t>
        </x:is>
      </x:c>
      <x:c r="L7" s="36" t="n"/>
      <x:c r="M7" s="37" t="str">
        <x:v>Done</x:v>
      </x:c>
      <x:c r="N7" s="49" t="str">
        <x:v>8fd6c98</x:v>
      </x:c>
      <x:c r="O7" s="38" t="str">
        <x:v>Đối chiếu Git: hoàn thành ngày 21/10/2026, trước lịch Tuần 1.</x:v>
      </x:c>
    </x:row>
    <x:row r="8" s="25" customFormat="1" ht="23.850000381469727" customHeight="1">
      <x:c r="A8" s="34" t="inlineStr">
        <x:is>
          <x:t xml:space="preserve">C002</x:t>
        </x:is>
      </x:c>
      <x:c r="B8" s="34" t="n">
        <x:v>1</x:v>
      </x:c>
      <x:c r="C8" s="35" t="n">
        <x:f>$B$4+0</x:f>
        <x:v>46321</x:v>
      </x:c>
      <x:c r="D8" s="34" t="inlineStr">
        <x:is>
          <x:t xml:space="preserve">Thứ 2</x:t>
        </x:is>
      </x:c>
      <x:c r="E8" s="36" t="inlineStr">
        <x:is>
          <x:t xml:space="preserve">Nguyễn Mai Hoàng Anh</x:t>
        </x:is>
      </x:c>
      <x:c r="F8" s="36" t="inlineStr">
        <x:is>
          <x:t xml:space="preserve">DevOps — CI/CD + hạ tầng monitoring</x:t>
        </x:is>
      </x:c>
      <x:c r="G8" s="34" t="inlineStr">
        <x:is>
          <x:t xml:space="preserve">TASK-004</x:t>
        </x:is>
      </x:c>
      <x:c r="H8" s="36" t="inlineStr">
        <x:is>
          <x:t xml:space="preserve">feat/task-004-ci-hardening</x:t>
        </x:is>
      </x:c>
      <x:c r="I8" s="34" t="n">
        <x:v>2</x:v>
      </x:c>
      <x:c r="J8" s="36" t="inlineStr">
        <x:is>
          <x:t xml:space="preserve">ci: add Trivy image scan job in report-only mode</x:t>
        </x:is>
      </x:c>
      <x:c r="K8" s="36" t="inlineStr">
        <x:is>
          <x:t xml:space="preserve">Scan image backend, xuất báo cáo, chưa chặn build</x:t>
        </x:is>
      </x:c>
      <x:c r="L8" s="36" t="n"/>
      <x:c r="M8" s="37" t="str">
        <x:v>Done</x:v>
      </x:c>
      <x:c r="N8" s="49" t="str">
        <x:v>0677e641d</x:v>
      </x:c>
      <x:c r="O8" s="38" t="str">
        <x:v>Đối chiếu Git: hoàn thành ngày 21/10/2026, trước lịch Tuần 1.</x:v>
      </x:c>
    </x:row>
    <x:row r="9" s="25" customFormat="1" ht="23.850000381469727" customHeight="1">
      <x:c r="A9" s="34" t="inlineStr">
        <x:is>
          <x:t xml:space="preserve">C003</x:t>
        </x:is>
      </x:c>
      <x:c r="B9" s="34" t="n">
        <x:v>1</x:v>
      </x:c>
      <x:c r="C9" s="35" t="n">
        <x:f>$B$4+1</x:f>
        <x:v>46322</x:v>
      </x:c>
      <x:c r="D9" s="34" t="inlineStr">
        <x:is>
          <x:t xml:space="preserve">Thứ 3</x:t>
        </x:is>
      </x:c>
      <x:c r="E9" s="36" t="inlineStr">
        <x:is>
          <x:t xml:space="preserve">Nguyễn Mai Hoàng Anh</x:t>
        </x:is>
      </x:c>
      <x:c r="F9" s="36" t="inlineStr">
        <x:is>
          <x:t xml:space="preserve">DevOps — CI/CD + hạ tầng monitoring</x:t>
        </x:is>
      </x:c>
      <x:c r="G9" s="34" t="inlineStr">
        <x:is>
          <x:t xml:space="preserve">TASK-004</x:t>
        </x:is>
      </x:c>
      <x:c r="H9" s="36" t="inlineStr">
        <x:is>
          <x:t xml:space="preserve">feat/task-004-ci-hardening</x:t>
        </x:is>
      </x:c>
      <x:c r="I9" s="34" t="n">
        <x:v>3</x:v>
      </x:c>
      <x:c r="J9" s="36" t="inlineStr">
        <x:is>
          <x:t xml:space="preserve">deploy: add healthcheck wait and named network to local compose</x:t>
        </x:is>
      </x:c>
      <x:c r="K9" s="36" t="inlineStr">
        <x:is>
          <x:t xml:space="preserve">Chuẩn hoá deploy/compose.yaml để dùng được `--wait`</x:t>
        </x:is>
      </x:c>
      <x:c r="L9" s="36" t="n"/>
      <x:c r="M9" s="37" t="str">
        <x:v>Done</x:v>
      </x:c>
      <x:c r="N9" s="49" t="str">
        <x:v>40b2168</x:v>
      </x:c>
      <x:c r="O9" s="38" t="str">
        <x:v>Đối chiếu Git: hoàn thành ngày 21/10/2026, trước lịch Tuần 1.</x:v>
      </x:c>
    </x:row>
    <x:row r="10" s="25" customFormat="1" ht="23.850000381469727" customHeight="1">
      <x:c r="A10" s="34" t="inlineStr">
        <x:is>
          <x:t xml:space="preserve">C004</x:t>
        </x:is>
      </x:c>
      <x:c r="B10" s="34" t="n">
        <x:v>1</x:v>
      </x:c>
      <x:c r="C10" s="35" t="n">
        <x:f>$B$4+1</x:f>
        <x:v>46322</x:v>
      </x:c>
      <x:c r="D10" s="34" t="inlineStr">
        <x:is>
          <x:t xml:space="preserve">Thứ 3</x:t>
        </x:is>
      </x:c>
      <x:c r="E10" s="36" t="inlineStr">
        <x:is>
          <x:t xml:space="preserve">Nguyễn Mai Hoàng Anh</x:t>
        </x:is>
      </x:c>
      <x:c r="F10" s="36" t="inlineStr">
        <x:is>
          <x:t xml:space="preserve">DevOps — CI/CD + hạ tầng monitoring</x:t>
        </x:is>
      </x:c>
      <x:c r="G10" s="34" t="inlineStr">
        <x:is>
          <x:t xml:space="preserve">TASK-004</x:t>
        </x:is>
      </x:c>
      <x:c r="H10" s="36" t="inlineStr">
        <x:is>
          <x:t xml:space="preserve">feat/task-004-ci-hardening</x:t>
        </x:is>
      </x:c>
      <x:c r="I10" s="34" t="n">
        <x:v>4</x:v>
      </x:c>
      <x:c r="J10" s="36" t="inlineStr">
        <x:is>
          <x:t xml:space="preserve">ci: add compose-smoke job starting stack with --wait</x:t>
        </x:is>
      </x:c>
      <x:c r="K10" s="36" t="inlineStr">
        <x:is>
          <x:t xml:space="preserve">Job mới dựng stack bằng Docker Compose trong CI</x:t>
        </x:is>
      </x:c>
      <x:c r="L10" s="36" t="n"/>
      <x:c r="M10" s="37" t="str">
        <x:v>Done</x:v>
      </x:c>
      <x:c r="N10" s="49" t="str">
        <x:v>d2608bd</x:v>
      </x:c>
      <x:c r="O10" s="38" t="str">
        <x:v>Đối chiếu Git: hoàn thành ngày 21/10/2026, trước lịch Tuần 1.</x:v>
      </x:c>
    </x:row>
    <x:row r="11" s="25" customFormat="1" ht="23.850000381469727" customHeight="1">
      <x:c r="A11" s="34" t="inlineStr">
        <x:is>
          <x:t xml:space="preserve">C005</x:t>
        </x:is>
      </x:c>
      <x:c r="B11" s="34" t="n">
        <x:v>1</x:v>
      </x:c>
      <x:c r="C11" s="35" t="n">
        <x:f>$B$4+2</x:f>
        <x:v>46323</x:v>
      </x:c>
      <x:c r="D11" s="34" t="inlineStr">
        <x:is>
          <x:t xml:space="preserve">Thứ 4</x:t>
        </x:is>
      </x:c>
      <x:c r="E11" s="36" t="inlineStr">
        <x:is>
          <x:t xml:space="preserve">Nguyễn Mai Hoàng Anh</x:t>
        </x:is>
      </x:c>
      <x:c r="F11" s="36" t="inlineStr">
        <x:is>
          <x:t xml:space="preserve">DevOps — CI/CD + hạ tầng monitoring</x:t>
        </x:is>
      </x:c>
      <x:c r="G11" s="34" t="inlineStr">
        <x:is>
          <x:t xml:space="preserve">TASK-004</x:t>
        </x:is>
      </x:c>
      <x:c r="H11" s="36" t="inlineStr">
        <x:is>
          <x:t xml:space="preserve">feat/task-004-ci-hardening</x:t>
        </x:is>
      </x:c>
      <x:c r="I11" s="34" t="n">
        <x:v>5</x:v>
      </x:c>
      <x:c r="J11" s="36" t="inlineStr">
        <x:is>
          <x:t xml:space="preserve">ci: run smoke_test.py against compose stack</x:t>
        </x:is>
      </x:c>
      <x:c r="K11" s="36" t="inlineStr">
        <x:is>
          <x:t xml:space="preserve">Gọi scripts/smoke_test.py sau khi stack sẵn sàng</x:t>
        </x:is>
      </x:c>
      <x:c r="L11" s="36" t="n"/>
      <x:c r="M11" s="37" t="str">
        <x:v>Done</x:v>
      </x:c>
      <x:c r="N11" s="49" t="str">
        <x:v>2dbb948</x:v>
      </x:c>
      <x:c r="O11" s="38" t="str">
        <x:v>Đối chiếu Git: hoàn thành ngày 21/10/2026, trước lịch Tuần 1.</x:v>
      </x:c>
    </x:row>
    <x:row r="12" s="25" customFormat="1" ht="23.850000381469727" customHeight="1">
      <x:c r="A12" s="34" t="inlineStr">
        <x:is>
          <x:t xml:space="preserve">C006</x:t>
        </x:is>
      </x:c>
      <x:c r="B12" s="34" t="n">
        <x:v>1</x:v>
      </x:c>
      <x:c r="C12" s="35" t="n">
        <x:f>$B$4+2</x:f>
        <x:v>46323</x:v>
      </x:c>
      <x:c r="D12" s="34" t="inlineStr">
        <x:is>
          <x:t xml:space="preserve">Thứ 4</x:t>
        </x:is>
      </x:c>
      <x:c r="E12" s="36" t="inlineStr">
        <x:is>
          <x:t xml:space="preserve">Nguyễn Mai Hoàng Anh</x:t>
        </x:is>
      </x:c>
      <x:c r="F12" s="36" t="inlineStr">
        <x:is>
          <x:t xml:space="preserve">DevOps — CI/CD + hạ tầng monitoring</x:t>
        </x:is>
      </x:c>
      <x:c r="G12" s="34" t="inlineStr">
        <x:is>
          <x:t xml:space="preserve">TASK-004</x:t>
        </x:is>
      </x:c>
      <x:c r="H12" s="36" t="inlineStr">
        <x:is>
          <x:t xml:space="preserve">feat/task-004-ci-hardening</x:t>
        </x:is>
      </x:c>
      <x:c r="I12" s="34" t="n">
        <x:v>6</x:v>
      </x:c>
      <x:c r="J12" s="36" t="inlineStr">
        <x:is>
          <x:t xml:space="preserve">test: verify bookings persist after backend recreate</x:t>
        </x:is>
      </x:c>
      <x:c r="K12" s="36" t="inlineStr">
        <x:is>
          <x:t xml:space="preserve">Tạo booking → recreate backend → đọc lại (E13)</x:t>
        </x:is>
      </x:c>
      <x:c r="L12" s="36" t="n"/>
      <x:c r="M12" s="37" t="str">
        <x:v>Done</x:v>
      </x:c>
      <x:c r="N12" s="49" t="str">
        <x:v>08b4e4a</x:v>
      </x:c>
      <x:c r="O12" s="38" t="str">
        <x:v>Đối chiếu Git: hoàn thành ngày 21/10/2026, trước lịch Tuần 1.</x:v>
      </x:c>
    </x:row>
    <x:row r="13" s="25" customFormat="1" ht="23.850000381469727" customHeight="1">
      <x:c r="A13" s="34" t="inlineStr">
        <x:is>
          <x:t xml:space="preserve">C007</x:t>
        </x:is>
      </x:c>
      <x:c r="B13" s="34" t="n">
        <x:v>1</x:v>
      </x:c>
      <x:c r="C13" s="35" t="n">
        <x:f>$B$4+3</x:f>
        <x:v>46324</x:v>
      </x:c>
      <x:c r="D13" s="34" t="inlineStr">
        <x:is>
          <x:t xml:space="preserve">Thứ 5</x:t>
        </x:is>
      </x:c>
      <x:c r="E13" s="36" t="inlineStr">
        <x:is>
          <x:t xml:space="preserve">Nguyễn Mai Hoàng Anh</x:t>
        </x:is>
      </x:c>
      <x:c r="F13" s="36" t="inlineStr">
        <x:is>
          <x:t xml:space="preserve">DevOps — CI/CD + hạ tầng monitoring</x:t>
        </x:is>
      </x:c>
      <x:c r="G13" s="34" t="inlineStr">
        <x:is>
          <x:t xml:space="preserve">TASK-004</x:t>
        </x:is>
      </x:c>
      <x:c r="H13" s="36" t="inlineStr">
        <x:is>
          <x:t xml:space="preserve">feat/task-004-ci-hardening</x:t>
        </x:is>
      </x:c>
      <x:c r="I13" s="34" t="n">
        <x:v>7</x:v>
      </x:c>
      <x:c r="J13" s="36" t="inlineStr">
        <x:is>
          <x:t xml:space="preserve">ci: upload pytest JUnit reports as artifacts</x:t>
        </x:is>
      </x:c>
      <x:c r="K13" s="36" t="inlineStr">
        <x:is>
          <x:t xml:space="preserve">Lưu kết quả test làm bằng chứng</x:t>
        </x:is>
      </x:c>
      <x:c r="L13" s="36" t="n"/>
      <x:c r="M13" s="37" t="str">
        <x:v>Done</x:v>
      </x:c>
      <x:c r="N13" s="49" t="str">
        <x:v>952d4b1</x:v>
      </x:c>
      <x:c r="O13" s="38" t="str">
        <x:v>Đối chiếu Git: hoàn thành ngày 21/10/2026, trước lịch Tuần 1.</x:v>
      </x:c>
    </x:row>
    <x:row r="14" s="25" customFormat="1" ht="23.850000381469727" customHeight="1">
      <x:c r="A14" s="34" t="inlineStr">
        <x:is>
          <x:t xml:space="preserve">C008</x:t>
        </x:is>
      </x:c>
      <x:c r="B14" s="34" t="n">
        <x:v>1</x:v>
      </x:c>
      <x:c r="C14" s="35" t="n">
        <x:f>$B$4+3</x:f>
        <x:v>46324</x:v>
      </x:c>
      <x:c r="D14" s="34" t="inlineStr">
        <x:is>
          <x:t xml:space="preserve">Thứ 5</x:t>
        </x:is>
      </x:c>
      <x:c r="E14" s="36" t="inlineStr">
        <x:is>
          <x:t xml:space="preserve">Nguyễn Mai Hoàng Anh</x:t>
        </x:is>
      </x:c>
      <x:c r="F14" s="36" t="inlineStr">
        <x:is>
          <x:t xml:space="preserve">DevOps — CI/CD + hạ tầng monitoring</x:t>
        </x:is>
      </x:c>
      <x:c r="G14" s="34" t="inlineStr">
        <x:is>
          <x:t xml:space="preserve">TASK-004</x:t>
        </x:is>
      </x:c>
      <x:c r="H14" s="36" t="inlineStr">
        <x:is>
          <x:t xml:space="preserve">feat/task-004-ci-hardening</x:t>
        </x:is>
      </x:c>
      <x:c r="I14" s="34" t="n">
        <x:v>8</x:v>
      </x:c>
      <x:c r="J14" s="36" t="inlineStr">
        <x:is>
          <x:t xml:space="preserve">chore: add Dependabot config for pip and GitHub Actions</x:t>
        </x:is>
      </x:c>
      <x:c r="K14" s="36" t="inlineStr">
        <x:is>
          <x:t xml:space="preserve">Tự động đề xuất cập nhật dependency</x:t>
        </x:is>
      </x:c>
      <x:c r="L14" s="36" t="n"/>
      <x:c r="M14" s="37" t="str">
        <x:v>Done</x:v>
      </x:c>
      <x:c r="N14" s="49" t="str">
        <x:v>e66f68d</x:v>
      </x:c>
      <x:c r="O14" s="38" t="str">
        <x:v>Đối chiếu Git: hoàn thành ngày 21/10/2026, trước lịch Tuần 1.</x:v>
      </x:c>
    </x:row>
    <x:row r="15" s="25" customFormat="1" ht="23.850000381469727" customHeight="1">
      <x:c r="A15" s="34" t="inlineStr">
        <x:is>
          <x:t xml:space="preserve">C009</x:t>
        </x:is>
      </x:c>
      <x:c r="B15" s="34" t="n">
        <x:v>1</x:v>
      </x:c>
      <x:c r="C15" s="35" t="n">
        <x:f>$B$4+4</x:f>
        <x:v>46325</x:v>
      </x:c>
      <x:c r="D15" s="34" t="inlineStr">
        <x:is>
          <x:t xml:space="preserve">Thứ 6</x:t>
        </x:is>
      </x:c>
      <x:c r="E15" s="36" t="inlineStr">
        <x:is>
          <x:t xml:space="preserve">Nguyễn Mai Hoàng Anh</x:t>
        </x:is>
      </x:c>
      <x:c r="F15" s="36" t="inlineStr">
        <x:is>
          <x:t xml:space="preserve">DevOps — CI/CD + hạ tầng monitoring</x:t>
        </x:is>
      </x:c>
      <x:c r="G15" s="34" t="inlineStr">
        <x:is>
          <x:t xml:space="preserve">TASK-004</x:t>
        </x:is>
      </x:c>
      <x:c r="H15" s="36" t="inlineStr">
        <x:is>
          <x:t xml:space="preserve">feat/task-004-ci-hardening</x:t>
        </x:is>
      </x:c>
      <x:c r="I15" s="34" t="n">
        <x:v>9</x:v>
      </x:c>
      <x:c r="J15" s="36" t="inlineStr">
        <x:is>
          <x:t xml:space="preserve">docs(devops): add local run guide and env var table</x:t>
        </x:is>
      </x:c>
      <x:c r="K15" s="36" t="inlineStr">
        <x:is>
          <x:t xml:space="preserve">Hướng dẫn chạy local bằng một lệnh</x:t>
        </x:is>
      </x:c>
      <x:c r="L15" s="36" t="n"/>
      <x:c r="M15" s="37" t="str">
        <x:v>Done</x:v>
      </x:c>
      <x:c r="N15" s="49" t="str">
        <x:v>b186d03</x:v>
      </x:c>
      <x:c r="O15" s="38" t="str">
        <x:v>Đối chiếu Git: hoàn thành ngày 21/10/2026, trước lịch Tuần 1.</x:v>
      </x:c>
    </x:row>
    <x:row r="16" s="25" customFormat="1" ht="23.850000381469727" customHeight="1">
      <x:c r="A16" s="34" t="inlineStr">
        <x:is>
          <x:t xml:space="preserve">C010</x:t>
        </x:is>
      </x:c>
      <x:c r="B16" s="34" t="n">
        <x:v>1</x:v>
      </x:c>
      <x:c r="C16" s="35" t="n">
        <x:f>$B$4+4</x:f>
        <x:v>46325</x:v>
      </x:c>
      <x:c r="D16" s="34" t="inlineStr">
        <x:is>
          <x:t xml:space="preserve">Thứ 6</x:t>
        </x:is>
      </x:c>
      <x:c r="E16" s="36" t="inlineStr">
        <x:is>
          <x:t xml:space="preserve">Nguyễn Mai Hoàng Anh</x:t>
        </x:is>
      </x:c>
      <x:c r="F16" s="36" t="inlineStr">
        <x:is>
          <x:t xml:space="preserve">DevOps — CI/CD + hạ tầng monitoring</x:t>
        </x:is>
      </x:c>
      <x:c r="G16" s="34" t="inlineStr">
        <x:is>
          <x:t xml:space="preserve">TASK-004</x:t>
        </x:is>
      </x:c>
      <x:c r="H16" s="36" t="inlineStr">
        <x:is>
          <x:t xml:space="preserve">feat/task-004-ci-hardening</x:t>
        </x:is>
      </x:c>
      <x:c r="I16" s="34" t="n">
        <x:v>10</x:v>
      </x:c>
      <x:c r="J16" s="36" t="inlineStr">
        <x:is>
          <x:t xml:space="preserve">docs(evidence): record E07 failing PR and E13 result</x:t>
        </x:is>
      </x:c>
      <x:c r="K16" s="36" t="inlineStr">
        <x:is>
          <x:t xml:space="preserve">Bật branch protection, mở PR fail cố ý, ghi link run</x:t>
        </x:is>
      </x:c>
      <x:c r="L16" s="36" t="inlineStr">
        <x:is>
          <x:t xml:space="preserve">Branch protection trên main</x:t>
        </x:is>
      </x:c>
      <x:c r="M16" s="37" t="str">
        <x:v>Done</x:v>
      </x:c>
      <x:c r="N16" s="49" t="str">
        <x:v>fcceb36, c10b22b</x:v>
      </x:c>
      <x:c r="O16" s="38" t="str">
        <x:v>E13 và E07 đều có evidence; hoàn thành ngày 21/10/2026, trước lịch Tuần 1.</x:v>
      </x:c>
    </x:row>
    <x:row r="17" s="25" customFormat="1" ht="15" customHeight="1">
      <x:c r="A17" s="34" t="inlineStr">
        <x:is>
          <x:t xml:space="preserve">C011</x:t>
        </x:is>
      </x:c>
      <x:c r="B17" s="34" t="n">
        <x:v>1</x:v>
      </x:c>
      <x:c r="C17" s="35" t="n">
        <x:f>$B$4+0</x:f>
        <x:v>46321</x:v>
      </x:c>
      <x:c r="D17" s="34" t="inlineStr">
        <x:is>
          <x:t xml:space="preserve">Thứ 2</x:t>
        </x:is>
      </x:c>
      <x:c r="E17" s="36" t="inlineStr">
        <x:is>
          <x:t xml:space="preserve">Phạm Minh Cương</x:t>
        </x:is>
      </x:c>
      <x:c r="F17" s="36" t="inlineStr">
        <x:is>
          <x:t xml:space="preserve">Backend + kiến trúc</x:t>
        </x:is>
      </x:c>
      <x:c r="G17" s="34" t="inlineStr">
        <x:is>
          <x:t xml:space="preserve">TASK-001</x:t>
        </x:is>
      </x:c>
      <x:c r="H17" s="36" t="inlineStr">
        <x:is>
          <x:t xml:space="preserve">feat/task-001-adr-fault-injection</x:t>
        </x:is>
      </x:c>
      <x:c r="I17" s="34" t="n">
        <x:v>1</x:v>
      </x:c>
      <x:c r="J17" s="36" t="inlineStr">
        <x:is>
          <x:t xml:space="preserve">docs(adr): add team review notes to ADR-001</x:t>
        </x:is>
      </x:c>
      <x:c r="K17" s="36" t="inlineStr">
        <x:is>
          <x:t xml:space="preserve">Tổ chức buổi review kiến trúc, ghi ý kiến</x:t>
        </x:is>
      </x:c>
      <x:c r="L17" s="36" t="inlineStr">
        <x:is>
          <x:t xml:space="preserve">Cả nhóm dự review</x:t>
        </x:is>
      </x:c>
      <x:c r="M17" s="37" t="str">
        <x:v>Todo</x:v>
      </x:c>
      <x:c r="N17" s="49"/>
      <x:c r="O17" s="38" t="str">
        <x:v>Chưa có commit hoặc biên bản chứng minh buổi review ADR-001.</x:v>
      </x:c>
    </x:row>
    <x:row r="18" s="25" customFormat="1" ht="15" customHeight="1">
      <x:c r="A18" s="34" t="inlineStr">
        <x:is>
          <x:t xml:space="preserve">C012</x:t>
        </x:is>
      </x:c>
      <x:c r="B18" s="34" t="n">
        <x:v>1</x:v>
      </x:c>
      <x:c r="C18" s="35" t="n">
        <x:f>$B$4+0</x:f>
        <x:v>46321</x:v>
      </x:c>
      <x:c r="D18" s="34" t="inlineStr">
        <x:is>
          <x:t xml:space="preserve">Thứ 2</x:t>
        </x:is>
      </x:c>
      <x:c r="E18" s="36" t="inlineStr">
        <x:is>
          <x:t xml:space="preserve">Phạm Minh Cương</x:t>
        </x:is>
      </x:c>
      <x:c r="F18" s="36" t="inlineStr">
        <x:is>
          <x:t xml:space="preserve">Backend + kiến trúc</x:t>
        </x:is>
      </x:c>
      <x:c r="G18" s="34" t="inlineStr">
        <x:is>
          <x:t xml:space="preserve">TASK-001</x:t>
        </x:is>
      </x:c>
      <x:c r="H18" s="36" t="inlineStr">
        <x:is>
          <x:t xml:space="preserve">feat/task-001-adr-fault-injection</x:t>
        </x:is>
      </x:c>
      <x:c r="I18" s="34" t="n">
        <x:v>2</x:v>
      </x:c>
      <x:c r="J18" s="36" t="inlineStr">
        <x:is>
          <x:t xml:space="preserve">docs(adr): mark ADR-001 accepted</x:t>
        </x:is>
      </x:c>
      <x:c r="K18" s="36" t="inlineStr">
        <x:is>
          <x:t xml:space="preserve">Cập nhật trạng thái ADR và architecture README</x:t>
        </x:is>
      </x:c>
      <x:c r="L18" s="36" t="n"/>
      <x:c r="M18" s="37" t="str">
        <x:v>Todo</x:v>
      </x:c>
      <x:c r="N18" s="49"/>
      <x:c r="O18" s="38" t="str">
        <x:v>ADR-001 hiện vẫn ở trạng thái Proposed, chưa được chuyển sang Accepted.</x:v>
      </x:c>
    </x:row>
    <x:row r="19" s="25" customFormat="1" ht="23.850000381469727" customHeight="1">
      <x:c r="A19" s="34" t="inlineStr">
        <x:is>
          <x:t xml:space="preserve">C013</x:t>
        </x:is>
      </x:c>
      <x:c r="B19" s="34" t="n">
        <x:v>1</x:v>
      </x:c>
      <x:c r="C19" s="35" t="n">
        <x:f>$B$4+1</x:f>
        <x:v>46322</x:v>
      </x:c>
      <x:c r="D19" s="34" t="inlineStr">
        <x:is>
          <x:t xml:space="preserve">Thứ 3</x:t>
        </x:is>
      </x:c>
      <x:c r="E19" s="36" t="inlineStr">
        <x:is>
          <x:t xml:space="preserve">Phạm Minh Cương</x:t>
        </x:is>
      </x:c>
      <x:c r="F19" s="36" t="inlineStr">
        <x:is>
          <x:t xml:space="preserve">Backend + kiến trúc</x:t>
        </x:is>
      </x:c>
      <x:c r="G19" s="34" t="inlineStr">
        <x:is>
          <x:t xml:space="preserve">TASK-001</x:t>
        </x:is>
      </x:c>
      <x:c r="H19" s="36" t="inlineStr">
        <x:is>
          <x:t xml:space="preserve">feat/task-001-adr-fault-injection</x:t>
        </x:is>
      </x:c>
      <x:c r="I19" s="34" t="n">
        <x:v>3</x:v>
      </x:c>
      <x:c r="J19" s="36" t="inlineStr">
        <x:is>
          <x:t xml:space="preserve">feat(config): add fault injection settings</x:t>
        </x:is>
      </x:c>
      <x:c r="K19" s="36" t="inlineStr">
        <x:is>
          <x:t xml:space="preserve">BOOKING_FAULT_MODE, _RATE, _UNTIL trong config.py</x:t>
        </x:is>
      </x:c>
      <x:c r="L19" s="36" t="n"/>
      <x:c r="M19" s="37" t="str">
        <x:v>Done</x:v>
      </x:c>
      <x:c r="N19" s="49" t="str">
        <x:v>3fa1b32</x:v>
      </x:c>
      <x:c r="O19" s="38" t="str">
        <x:v>Hoàn thành gộp ngày 21/10/2026; không tách thành commit riêng như lịch.</x:v>
      </x:c>
    </x:row>
    <x:row r="20" s="25" customFormat="1" ht="15" customHeight="1">
      <x:c r="A20" s="34" t="inlineStr">
        <x:is>
          <x:t xml:space="preserve">C014</x:t>
        </x:is>
      </x:c>
      <x:c r="B20" s="34" t="n">
        <x:v>1</x:v>
      </x:c>
      <x:c r="C20" s="35" t="n">
        <x:f>$B$4+1</x:f>
        <x:v>46322</x:v>
      </x:c>
      <x:c r="D20" s="34" t="inlineStr">
        <x:is>
          <x:t xml:space="preserve">Thứ 3</x:t>
        </x:is>
      </x:c>
      <x:c r="E20" s="36" t="inlineStr">
        <x:is>
          <x:t xml:space="preserve">Phạm Minh Cương</x:t>
        </x:is>
      </x:c>
      <x:c r="F20" s="36" t="inlineStr">
        <x:is>
          <x:t xml:space="preserve">Backend + kiến trúc</x:t>
        </x:is>
      </x:c>
      <x:c r="G20" s="34" t="inlineStr">
        <x:is>
          <x:t xml:space="preserve">TASK-001</x:t>
        </x:is>
      </x:c>
      <x:c r="H20" s="36" t="inlineStr">
        <x:is>
          <x:t xml:space="preserve">feat/task-001-adr-fault-injection</x:t>
        </x:is>
      </x:c>
      <x:c r="I20" s="34" t="n">
        <x:v>4</x:v>
      </x:c>
      <x:c r="J20" s="36" t="inlineStr">
        <x:is>
          <x:t xml:space="preserve">feat(fault): add fault injector with expiry check</x:t>
        </x:is>
      </x:c>
      <x:c r="K20" s="36" t="inlineStr">
        <x:is>
          <x:t xml:space="preserve">Fault tự tắt sau BOOKING_FAULT_UNTIL</x:t>
        </x:is>
      </x:c>
      <x:c r="L20" s="36" t="n"/>
      <x:c r="M20" s="37" t="str">
        <x:v>Done</x:v>
      </x:c>
      <x:c r="N20" s="49" t="str">
        <x:v>3fa1b32</x:v>
      </x:c>
      <x:c r="O20" s="38" t="str">
        <x:v>Hoàn thành gộp ngày 21/10/2026; không tách thành commit riêng như lịch.</x:v>
      </x:c>
    </x:row>
    <x:row r="21" s="25" customFormat="1" ht="15" customHeight="1">
      <x:c r="A21" s="34" t="inlineStr">
        <x:is>
          <x:t xml:space="preserve">C015</x:t>
        </x:is>
      </x:c>
      <x:c r="B21" s="34" t="n">
        <x:v>1</x:v>
      </x:c>
      <x:c r="C21" s="35" t="n">
        <x:f>$B$4+2</x:f>
        <x:v>46323</x:v>
      </x:c>
      <x:c r="D21" s="34" t="inlineStr">
        <x:is>
          <x:t xml:space="preserve">Thứ 4</x:t>
        </x:is>
      </x:c>
      <x:c r="E21" s="36" t="inlineStr">
        <x:is>
          <x:t xml:space="preserve">Phạm Minh Cương</x:t>
        </x:is>
      </x:c>
      <x:c r="F21" s="36" t="inlineStr">
        <x:is>
          <x:t xml:space="preserve">Backend + kiến trúc</x:t>
        </x:is>
      </x:c>
      <x:c r="G21" s="34" t="inlineStr">
        <x:is>
          <x:t xml:space="preserve">TASK-001</x:t>
        </x:is>
      </x:c>
      <x:c r="H21" s="36" t="inlineStr">
        <x:is>
          <x:t xml:space="preserve">feat/task-001-adr-fault-injection</x:t>
        </x:is>
      </x:c>
      <x:c r="I21" s="34" t="n">
        <x:v>5</x:v>
      </x:c>
      <x:c r="J21" s="36" t="inlineStr">
        <x:is>
          <x:t xml:space="preserve">test(fault): cover expiry and rate behaviour</x:t>
        </x:is>
      </x:c>
      <x:c r="K21" s="36" t="inlineStr">
        <x:is>
          <x:t xml:space="preserve">Unit test cho thời hạn và tỷ lệ</x:t>
        </x:is>
      </x:c>
      <x:c r="L21" s="36" t="n"/>
      <x:c r="M21" s="37" t="str">
        <x:v>Done</x:v>
      </x:c>
      <x:c r="N21" s="49" t="str">
        <x:v>3fa1b32</x:v>
      </x:c>
      <x:c r="O21" s="38" t="str">
        <x:v>Hoàn thành gộp ngày 21/10/2026; không tách thành commit riêng như lịch.</x:v>
      </x:c>
    </x:row>
    <x:row r="22" s="25" customFormat="1" ht="15" customHeight="1">
      <x:c r="A22" s="34" t="inlineStr">
        <x:is>
          <x:t xml:space="preserve">C016</x:t>
        </x:is>
      </x:c>
      <x:c r="B22" s="34" t="n">
        <x:v>1</x:v>
      </x:c>
      <x:c r="C22" s="35" t="n">
        <x:f>$B$4+2</x:f>
        <x:v>46323</x:v>
      </x:c>
      <x:c r="D22" s="34" t="inlineStr">
        <x:is>
          <x:t xml:space="preserve">Thứ 4</x:t>
        </x:is>
      </x:c>
      <x:c r="E22" s="36" t="inlineStr">
        <x:is>
          <x:t xml:space="preserve">Phạm Minh Cương</x:t>
        </x:is>
      </x:c>
      <x:c r="F22" s="36" t="inlineStr">
        <x:is>
          <x:t xml:space="preserve">Backend + kiến trúc</x:t>
        </x:is>
      </x:c>
      <x:c r="G22" s="34" t="inlineStr">
        <x:is>
          <x:t xml:space="preserve">TASK-001</x:t>
        </x:is>
      </x:c>
      <x:c r="H22" s="36" t="inlineStr">
        <x:is>
          <x:t xml:space="preserve">feat/task-001-adr-fault-injection</x:t>
        </x:is>
      </x:c>
      <x:c r="I22" s="34" t="n">
        <x:v>6</x:v>
      </x:c>
      <x:c r="J22" s="36" t="inlineStr">
        <x:is>
          <x:t xml:space="preserve">feat(booking): apply error fault before DB write</x:t>
        </x:is>
      </x:c>
      <x:c r="K22" s="36" t="inlineStr">
        <x:is>
          <x:t xml:space="preserve">Trả 500 trước khi ghi DB khi mode=error</x:t>
        </x:is>
      </x:c>
      <x:c r="L22" s="36" t="n"/>
      <x:c r="M22" s="37" t="str">
        <x:v>Done</x:v>
      </x:c>
      <x:c r="N22" s="49" t="str">
        <x:v>3fa1b32</x:v>
      </x:c>
      <x:c r="O22" s="38" t="str">
        <x:v>Hoàn thành gộp ngày 21/10/2026; không tách thành commit riêng như lịch.</x:v>
      </x:c>
    </x:row>
    <x:row r="23" s="25" customFormat="1" ht="15" customHeight="1">
      <x:c r="A23" s="34" t="inlineStr">
        <x:is>
          <x:t xml:space="preserve">C017</x:t>
        </x:is>
      </x:c>
      <x:c r="B23" s="34" t="n">
        <x:v>1</x:v>
      </x:c>
      <x:c r="C23" s="35" t="n">
        <x:f>$B$4+3</x:f>
        <x:v>46324</x:v>
      </x:c>
      <x:c r="D23" s="34" t="inlineStr">
        <x:is>
          <x:t xml:space="preserve">Thứ 5</x:t>
        </x:is>
      </x:c>
      <x:c r="E23" s="36" t="inlineStr">
        <x:is>
          <x:t xml:space="preserve">Phạm Minh Cương</x:t>
        </x:is>
      </x:c>
      <x:c r="F23" s="36" t="inlineStr">
        <x:is>
          <x:t xml:space="preserve">Backend + kiến trúc</x:t>
        </x:is>
      </x:c>
      <x:c r="G23" s="34" t="inlineStr">
        <x:is>
          <x:t xml:space="preserve">TASK-001</x:t>
        </x:is>
      </x:c>
      <x:c r="H23" s="36" t="inlineStr">
        <x:is>
          <x:t xml:space="preserve">feat/task-001-adr-fault-injection</x:t>
        </x:is>
      </x:c>
      <x:c r="I23" s="34" t="n">
        <x:v>7</x:v>
      </x:c>
      <x:c r="J23" s="36" t="inlineStr">
        <x:is>
          <x:t xml:space="preserve">test(api): return 500 when error fault is active</x:t>
        </x:is>
      </x:c>
      <x:c r="K23" s="36" t="inlineStr">
        <x:is>
          <x:t xml:space="preserve">Integration test với PostgreSQL</x:t>
        </x:is>
      </x:c>
      <x:c r="L23" s="36" t="n"/>
      <x:c r="M23" s="37" t="str">
        <x:v>Done</x:v>
      </x:c>
      <x:c r="N23" s="49" t="str">
        <x:v>3fa1b32</x:v>
      </x:c>
      <x:c r="O23" s="38" t="str">
        <x:v>Hoàn thành gộp ngày 21/10/2026; không tách thành commit riêng như lịch.</x:v>
      </x:c>
    </x:row>
    <x:row r="24" s="25" customFormat="1" ht="15" customHeight="1">
      <x:c r="A24" s="34" t="inlineStr">
        <x:is>
          <x:t xml:space="preserve">C018</x:t>
        </x:is>
      </x:c>
      <x:c r="B24" s="34" t="n">
        <x:v>1</x:v>
      </x:c>
      <x:c r="C24" s="35" t="n">
        <x:f>$B$4+3</x:f>
        <x:v>46324</x:v>
      </x:c>
      <x:c r="D24" s="34" t="inlineStr">
        <x:is>
          <x:t xml:space="preserve">Thứ 5</x:t>
        </x:is>
      </x:c>
      <x:c r="E24" s="36" t="inlineStr">
        <x:is>
          <x:t xml:space="preserve">Phạm Minh Cương</x:t>
        </x:is>
      </x:c>
      <x:c r="F24" s="36" t="inlineStr">
        <x:is>
          <x:t xml:space="preserve">Backend + kiến trúc</x:t>
        </x:is>
      </x:c>
      <x:c r="G24" s="34" t="inlineStr">
        <x:is>
          <x:t xml:space="preserve">TASK-001</x:t>
        </x:is>
      </x:c>
      <x:c r="H24" s="36" t="inlineStr">
        <x:is>
          <x:t xml:space="preserve">feat/task-001-adr-fault-injection</x:t>
        </x:is>
      </x:c>
      <x:c r="I24" s="34" t="n">
        <x:v>8</x:v>
      </x:c>
      <x:c r="J24" s="36" t="inlineStr">
        <x:is>
          <x:t xml:space="preserve">feat(fault): add latency mode with configurable delay</x:t>
        </x:is>
      </x:c>
      <x:c r="K24" s="36" t="inlineStr">
        <x:is>
          <x:t xml:space="preserve">Chậm N giây khi mode=latency</x:t>
        </x:is>
      </x:c>
      <x:c r="L24" s="36" t="n"/>
      <x:c r="M24" s="37" t="str">
        <x:v>Done</x:v>
      </x:c>
      <x:c r="N24" s="49" t="str">
        <x:v>3fa1b32</x:v>
      </x:c>
      <x:c r="O24" s="38" t="str">
        <x:v>Hoàn thành gộp ngày 21/10/2026; không tách thành commit riêng như lịch.</x:v>
      </x:c>
    </x:row>
    <x:row r="25" s="25" customFormat="1" ht="15" customHeight="1">
      <x:c r="A25" s="34" t="inlineStr">
        <x:is>
          <x:t xml:space="preserve">C019</x:t>
        </x:is>
      </x:c>
      <x:c r="B25" s="34" t="n">
        <x:v>1</x:v>
      </x:c>
      <x:c r="C25" s="35" t="n">
        <x:f>$B$4+4</x:f>
        <x:v>46325</x:v>
      </x:c>
      <x:c r="D25" s="34" t="inlineStr">
        <x:is>
          <x:t xml:space="preserve">Thứ 6</x:t>
        </x:is>
      </x:c>
      <x:c r="E25" s="36" t="inlineStr">
        <x:is>
          <x:t xml:space="preserve">Phạm Minh Cương</x:t>
        </x:is>
      </x:c>
      <x:c r="F25" s="36" t="inlineStr">
        <x:is>
          <x:t xml:space="preserve">Backend + kiến trúc</x:t>
        </x:is>
      </x:c>
      <x:c r="G25" s="34" t="inlineStr">
        <x:is>
          <x:t xml:space="preserve">TASK-001</x:t>
        </x:is>
      </x:c>
      <x:c r="H25" s="36" t="inlineStr">
        <x:is>
          <x:t xml:space="preserve">feat/task-001-adr-fault-injection</x:t>
        </x:is>
      </x:c>
      <x:c r="I25" s="34" t="n">
        <x:v>9</x:v>
      </x:c>
      <x:c r="J25" s="36" t="inlineStr">
        <x:is>
          <x:t xml:space="preserve">test(fault): cover latency mode</x:t>
        </x:is>
      </x:c>
      <x:c r="K25" s="36" t="inlineStr">
        <x:is>
          <x:t xml:space="preserve">Unit test latency</x:t>
        </x:is>
      </x:c>
      <x:c r="L25" s="36" t="n"/>
      <x:c r="M25" s="37" t="str">
        <x:v>Done</x:v>
      </x:c>
      <x:c r="N25" s="49" t="str">
        <x:v>3fa1b32</x:v>
      </x:c>
      <x:c r="O25" s="38" t="str">
        <x:v>Hoàn thành gộp ngày 21/10/2026; không tách thành commit riêng như lịch.</x:v>
      </x:c>
    </x:row>
    <x:row r="26" s="25" customFormat="1" ht="15" customHeight="1">
      <x:c r="A26" s="34" t="inlineStr">
        <x:is>
          <x:t xml:space="preserve">C020</x:t>
        </x:is>
      </x:c>
      <x:c r="B26" s="34" t="n">
        <x:v>1</x:v>
      </x:c>
      <x:c r="C26" s="35" t="n">
        <x:f>$B$4+4</x:f>
        <x:v>46325</x:v>
      </x:c>
      <x:c r="D26" s="34" t="inlineStr">
        <x:is>
          <x:t xml:space="preserve">Thứ 6</x:t>
        </x:is>
      </x:c>
      <x:c r="E26" s="36" t="inlineStr">
        <x:is>
          <x:t xml:space="preserve">Phạm Minh Cương</x:t>
        </x:is>
      </x:c>
      <x:c r="F26" s="36" t="inlineStr">
        <x:is>
          <x:t xml:space="preserve">Backend + kiến trúc</x:t>
        </x:is>
      </x:c>
      <x:c r="G26" s="34" t="inlineStr">
        <x:is>
          <x:t xml:space="preserve">TASK-001</x:t>
        </x:is>
      </x:c>
      <x:c r="H26" s="36" t="inlineStr">
        <x:is>
          <x:t xml:space="preserve">feat/task-001-adr-fault-injection</x:t>
        </x:is>
      </x:c>
      <x:c r="I26" s="34" t="n">
        <x:v>10</x:v>
      </x:c>
      <x:c r="J26" s="36" t="inlineStr">
        <x:is>
          <x:t xml:space="preserve">docs(backend): document fault injection env vars</x:t>
        </x:is>
      </x:c>
      <x:c r="K26" s="36" t="inlineStr">
        <x:is>
          <x:t xml:space="preserve">Cập nhật backend/README.md và .env.example</x:t>
        </x:is>
      </x:c>
      <x:c r="L26" s="36" t="n"/>
      <x:c r="M26" s="37" t="str">
        <x:v>Done</x:v>
      </x:c>
      <x:c r="N26" s="49" t="str">
        <x:v>3fa1b32</x:v>
      </x:c>
      <x:c r="O26" s="38" t="str">
        <x:v>Hoàn thành gộp ngày 21/10/2026; không tách thành commit riêng như lịch.</x:v>
      </x:c>
    </x:row>
    <x:row r="27" s="25" customFormat="1" ht="15" customHeight="1">
      <x:c r="A27" s="34" t="inlineStr">
        <x:is>
          <x:t xml:space="preserve">C021</x:t>
        </x:is>
      </x:c>
      <x:c r="B27" s="34" t="n">
        <x:v>1</x:v>
      </x:c>
      <x:c r="C27" s="35" t="n">
        <x:f>$B$4+0</x:f>
        <x:v>46321</x:v>
      </x:c>
      <x:c r="D27" s="34" t="inlineStr">
        <x:is>
          <x:t xml:space="preserve">Thứ 2</x:t>
        </x:is>
      </x:c>
      <x:c r="E27" s="36" t="inlineStr">
        <x:is>
          <x:t xml:space="preserve">Lê Văn Cường</x:t>
        </x:is>
      </x:c>
      <x:c r="F27" s="36" t="inlineStr">
        <x:is>
          <x:t xml:space="preserve">Frontend + E2E</x:t>
        </x:is>
      </x:c>
      <x:c r="G27" s="34" t="inlineStr">
        <x:is>
          <x:t xml:space="preserve">TASK-003</x:t>
        </x:is>
      </x:c>
      <x:c r="H27" s="36" t="inlineStr">
        <x:is>
          <x:t xml:space="preserve">feat/task-003-ui-scaffold</x:t>
        </x:is>
      </x:c>
      <x:c r="I27" s="34" t="n">
        <x:v>1</x:v>
      </x:c>
      <x:c r="J27" s="36" t="inlineStr">
        <x:is>
          <x:t xml:space="preserve">chore(frontend): scaffold React, Vite and TypeScript app</x:t>
        </x:is>
      </x:c>
      <x:c r="K27" s="36" t="inlineStr">
        <x:is>
          <x:t xml:space="preserve">Tạo thư mục frontend/</x:t>
        </x:is>
      </x:c>
      <x:c r="L27" s="36" t="n"/>
      <x:c r="M27" s="37" t="str">
        <x:v>Done</x:v>
      </x:c>
      <x:c r="N27" s="49" t="str">
        <x:v>daecbc6</x:v>
      </x:c>
      <x:c r="O27" s="38" t="str">
        <x:v>Hoàn thành gộp ngày 25/10/2026; không tách thành 10 commit riêng như lịch.</x:v>
      </x:c>
    </x:row>
    <x:row r="28" s="25" customFormat="1" ht="15" customHeight="1">
      <x:c r="A28" s="34" t="inlineStr">
        <x:is>
          <x:t xml:space="preserve">C022</x:t>
        </x:is>
      </x:c>
      <x:c r="B28" s="34" t="n">
        <x:v>1</x:v>
      </x:c>
      <x:c r="C28" s="35" t="n">
        <x:f>$B$4+0</x:f>
        <x:v>46321</x:v>
      </x:c>
      <x:c r="D28" s="34" t="inlineStr">
        <x:is>
          <x:t xml:space="preserve">Thứ 2</x:t>
        </x:is>
      </x:c>
      <x:c r="E28" s="36" t="inlineStr">
        <x:is>
          <x:t xml:space="preserve">Lê Văn Cường</x:t>
        </x:is>
      </x:c>
      <x:c r="F28" s="36" t="inlineStr">
        <x:is>
          <x:t xml:space="preserve">Frontend + E2E</x:t>
        </x:is>
      </x:c>
      <x:c r="G28" s="34" t="inlineStr">
        <x:is>
          <x:t xml:space="preserve">TASK-003</x:t>
        </x:is>
      </x:c>
      <x:c r="H28" s="36" t="inlineStr">
        <x:is>
          <x:t xml:space="preserve">feat/task-003-ui-scaffold</x:t>
        </x:is>
      </x:c>
      <x:c r="I28" s="34" t="n">
        <x:v>2</x:v>
      </x:c>
      <x:c r="J28" s="36" t="inlineStr">
        <x:is>
          <x:t xml:space="preserve">chore(frontend): add ESLint, Prettier and Vitest config</x:t>
        </x:is>
      </x:c>
      <x:c r="K28" s="36" t="n"/>
      <x:c r="L28" s="36" t="n"/>
      <x:c r="M28" s="37" t="str">
        <x:v>Done</x:v>
      </x:c>
      <x:c r="N28" s="49" t="str">
        <x:v>daecbc6</x:v>
      </x:c>
      <x:c r="O28" s="38" t="str">
        <x:v>Hoàn thành gộp ngày 25/10/2026; không tách thành 10 commit riêng như lịch.</x:v>
      </x:c>
    </x:row>
    <x:row r="29" s="25" customFormat="1" ht="15" customHeight="1">
      <x:c r="A29" s="34" t="inlineStr">
        <x:is>
          <x:t xml:space="preserve">C023</x:t>
        </x:is>
      </x:c>
      <x:c r="B29" s="34" t="n">
        <x:v>1</x:v>
      </x:c>
      <x:c r="C29" s="35" t="n">
        <x:f>$B$4+1</x:f>
        <x:v>46322</x:v>
      </x:c>
      <x:c r="D29" s="34" t="inlineStr">
        <x:is>
          <x:t xml:space="preserve">Thứ 3</x:t>
        </x:is>
      </x:c>
      <x:c r="E29" s="36" t="inlineStr">
        <x:is>
          <x:t xml:space="preserve">Lê Văn Cường</x:t>
        </x:is>
      </x:c>
      <x:c r="F29" s="36" t="inlineStr">
        <x:is>
          <x:t xml:space="preserve">Frontend + E2E</x:t>
        </x:is>
      </x:c>
      <x:c r="G29" s="34" t="inlineStr">
        <x:is>
          <x:t xml:space="preserve">TASK-003</x:t>
        </x:is>
      </x:c>
      <x:c r="H29" s="36" t="inlineStr">
        <x:is>
          <x:t xml:space="preserve">feat/task-003-ui-scaffold</x:t>
        </x:is>
      </x:c>
      <x:c r="I29" s="34" t="n">
        <x:v>3</x:v>
      </x:c>
      <x:c r="J29" s="36" t="inlineStr">
        <x:is>
          <x:t xml:space="preserve">feat(frontend): add API client with typed errors</x:t>
        </x:is>
      </x:c>
      <x:c r="K29" s="36" t="inlineStr">
        <x:is>
          <x:t xml:space="preserve">Phân biệt lỗi 409, 4xx, 5xx</x:t>
        </x:is>
      </x:c>
      <x:c r="L29" s="36" t="n"/>
      <x:c r="M29" s="37" t="str">
        <x:v>Done</x:v>
      </x:c>
      <x:c r="N29" s="49" t="str">
        <x:v>daecbc6</x:v>
      </x:c>
      <x:c r="O29" s="38" t="str">
        <x:v>Hoàn thành gộp ngày 25/10/2026; không tách thành 10 commit riêng như lịch.</x:v>
      </x:c>
    </x:row>
    <x:row r="30" s="25" customFormat="1" ht="15" customHeight="1">
      <x:c r="A30" s="34" t="inlineStr">
        <x:is>
          <x:t xml:space="preserve">C024</x:t>
        </x:is>
      </x:c>
      <x:c r="B30" s="34" t="n">
        <x:v>1</x:v>
      </x:c>
      <x:c r="C30" s="35" t="n">
        <x:f>$B$4+1</x:f>
        <x:v>46322</x:v>
      </x:c>
      <x:c r="D30" s="34" t="inlineStr">
        <x:is>
          <x:t xml:space="preserve">Thứ 3</x:t>
        </x:is>
      </x:c>
      <x:c r="E30" s="36" t="inlineStr">
        <x:is>
          <x:t xml:space="preserve">Lê Văn Cường</x:t>
        </x:is>
      </x:c>
      <x:c r="F30" s="36" t="inlineStr">
        <x:is>
          <x:t xml:space="preserve">Frontend + E2E</x:t>
        </x:is>
      </x:c>
      <x:c r="G30" s="34" t="inlineStr">
        <x:is>
          <x:t xml:space="preserve">TASK-003</x:t>
        </x:is>
      </x:c>
      <x:c r="H30" s="36" t="inlineStr">
        <x:is>
          <x:t xml:space="preserve">feat/task-003-ui-scaffold</x:t>
        </x:is>
      </x:c>
      <x:c r="I30" s="34" t="n">
        <x:v>4</x:v>
      </x:c>
      <x:c r="J30" s="36" t="inlineStr">
        <x:is>
          <x:t xml:space="preserve">feat(frontend): add Slot and Appointment types</x:t>
        </x:is>
      </x:c>
      <x:c r="K30" s="36" t="inlineStr">
        <x:is>
          <x:t xml:space="preserve">Theo schema backend</x:t>
        </x:is>
      </x:c>
      <x:c r="L30" s="36" t="n"/>
      <x:c r="M30" s="37" t="str">
        <x:v>Done</x:v>
      </x:c>
      <x:c r="N30" s="49" t="str">
        <x:v>daecbc6</x:v>
      </x:c>
      <x:c r="O30" s="38" t="str">
        <x:v>Hoàn thành gộp ngày 25/10/2026; không tách thành 10 commit riêng như lịch.</x:v>
      </x:c>
    </x:row>
    <x:row r="31" s="25" customFormat="1" ht="15" customHeight="1">
      <x:c r="A31" s="34" t="inlineStr">
        <x:is>
          <x:t xml:space="preserve">C025</x:t>
        </x:is>
      </x:c>
      <x:c r="B31" s="34" t="n">
        <x:v>1</x:v>
      </x:c>
      <x:c r="C31" s="35" t="n">
        <x:f>$B$4+2</x:f>
        <x:v>46323</x:v>
      </x:c>
      <x:c r="D31" s="34" t="inlineStr">
        <x:is>
          <x:t xml:space="preserve">Thứ 4</x:t>
        </x:is>
      </x:c>
      <x:c r="E31" s="36" t="inlineStr">
        <x:is>
          <x:t xml:space="preserve">Lê Văn Cường</x:t>
        </x:is>
      </x:c>
      <x:c r="F31" s="36" t="inlineStr">
        <x:is>
          <x:t xml:space="preserve">Frontend + E2E</x:t>
        </x:is>
      </x:c>
      <x:c r="G31" s="34" t="inlineStr">
        <x:is>
          <x:t xml:space="preserve">TASK-003</x:t>
        </x:is>
      </x:c>
      <x:c r="H31" s="36" t="inlineStr">
        <x:is>
          <x:t xml:space="preserve">feat/task-003-ui-scaffold</x:t>
        </x:is>
      </x:c>
      <x:c r="I31" s="34" t="n">
        <x:v>5</x:v>
      </x:c>
      <x:c r="J31" s="36" t="inlineStr">
        <x:is>
          <x:t xml:space="preserve">feat(frontend): add date picker and slot list page</x:t>
        </x:is>
      </x:c>
      <x:c r="K31" s="36" t="inlineStr">
        <x:is>
          <x:t xml:space="preserve">Gọi GET /api/slots</x:t>
        </x:is>
      </x:c>
      <x:c r="L31" s="36" t="n"/>
      <x:c r="M31" s="37" t="str">
        <x:v>Done</x:v>
      </x:c>
      <x:c r="N31" s="49" t="str">
        <x:v>daecbc6</x:v>
      </x:c>
      <x:c r="O31" s="38" t="str">
        <x:v>Hoàn thành gộp ngày 25/10/2026; không tách thành 10 commit riêng như lịch.</x:v>
      </x:c>
    </x:row>
    <x:row r="32" s="25" customFormat="1" ht="15" customHeight="1">
      <x:c r="A32" s="34" t="inlineStr">
        <x:is>
          <x:t xml:space="preserve">C026</x:t>
        </x:is>
      </x:c>
      <x:c r="B32" s="34" t="n">
        <x:v>1</x:v>
      </x:c>
      <x:c r="C32" s="35" t="n">
        <x:f>$B$4+2</x:f>
        <x:v>46323</x:v>
      </x:c>
      <x:c r="D32" s="34" t="inlineStr">
        <x:is>
          <x:t xml:space="preserve">Thứ 4</x:t>
        </x:is>
      </x:c>
      <x:c r="E32" s="36" t="inlineStr">
        <x:is>
          <x:t xml:space="preserve">Lê Văn Cường</x:t>
        </x:is>
      </x:c>
      <x:c r="F32" s="36" t="inlineStr">
        <x:is>
          <x:t xml:space="preserve">Frontend + E2E</x:t>
        </x:is>
      </x:c>
      <x:c r="G32" s="34" t="inlineStr">
        <x:is>
          <x:t xml:space="preserve">TASK-003</x:t>
        </x:is>
      </x:c>
      <x:c r="H32" s="36" t="inlineStr">
        <x:is>
          <x:t xml:space="preserve">feat/task-003-ui-scaffold</x:t>
        </x:is>
      </x:c>
      <x:c r="I32" s="34" t="n">
        <x:v>6</x:v>
      </x:c>
      <x:c r="J32" s="36" t="inlineStr">
        <x:is>
          <x:t xml:space="preserve">feat(frontend): display times in Asia/Ho_Chi_Minh</x:t>
        </x:is>
      </x:c>
      <x:c r="K32" s="36" t="n"/>
      <x:c r="L32" s="36" t="n"/>
      <x:c r="M32" s="37" t="str">
        <x:v>Done</x:v>
      </x:c>
      <x:c r="N32" s="49" t="str">
        <x:v>daecbc6</x:v>
      </x:c>
      <x:c r="O32" s="38" t="str">
        <x:v>Hoàn thành gộp ngày 25/10/2026; không tách thành 10 commit riêng như lịch.</x:v>
      </x:c>
    </x:row>
    <x:row r="33" s="25" customFormat="1" ht="15" customHeight="1">
      <x:c r="A33" s="34" t="inlineStr">
        <x:is>
          <x:t xml:space="preserve">C027</x:t>
        </x:is>
      </x:c>
      <x:c r="B33" s="34" t="n">
        <x:v>1</x:v>
      </x:c>
      <x:c r="C33" s="35" t="n">
        <x:f>$B$4+3</x:f>
        <x:v>46324</x:v>
      </x:c>
      <x:c r="D33" s="34" t="inlineStr">
        <x:is>
          <x:t xml:space="preserve">Thứ 5</x:t>
        </x:is>
      </x:c>
      <x:c r="E33" s="36" t="inlineStr">
        <x:is>
          <x:t xml:space="preserve">Lê Văn Cường</x:t>
        </x:is>
      </x:c>
      <x:c r="F33" s="36" t="inlineStr">
        <x:is>
          <x:t xml:space="preserve">Frontend + E2E</x:t>
        </x:is>
      </x:c>
      <x:c r="G33" s="34" t="inlineStr">
        <x:is>
          <x:t xml:space="preserve">TASK-003</x:t>
        </x:is>
      </x:c>
      <x:c r="H33" s="36" t="inlineStr">
        <x:is>
          <x:t xml:space="preserve">feat/task-003-ui-scaffold</x:t>
        </x:is>
      </x:c>
      <x:c r="I33" s="34" t="n">
        <x:v>7</x:v>
      </x:c>
      <x:c r="J33" s="36" t="inlineStr">
        <x:is>
          <x:t xml:space="preserve">test(frontend): cover slot list rendering</x:t>
        </x:is>
      </x:c>
      <x:c r="K33" s="36" t="n"/>
      <x:c r="L33" s="36" t="n"/>
      <x:c r="M33" s="37" t="str">
        <x:v>Done</x:v>
      </x:c>
      <x:c r="N33" s="49" t="str">
        <x:v>daecbc6</x:v>
      </x:c>
      <x:c r="O33" s="38" t="str">
        <x:v>Hoàn thành gộp ngày 25/10/2026; không tách thành 10 commit riêng như lịch.</x:v>
      </x:c>
    </x:row>
    <x:row r="34" s="25" customFormat="1" ht="15" customHeight="1">
      <x:c r="A34" s="34" t="inlineStr">
        <x:is>
          <x:t xml:space="preserve">C028</x:t>
        </x:is>
      </x:c>
      <x:c r="B34" s="34" t="n">
        <x:v>1</x:v>
      </x:c>
      <x:c r="C34" s="35" t="n">
        <x:f>$B$4+3</x:f>
        <x:v>46324</x:v>
      </x:c>
      <x:c r="D34" s="34" t="inlineStr">
        <x:is>
          <x:t xml:space="preserve">Thứ 5</x:t>
        </x:is>
      </x:c>
      <x:c r="E34" s="36" t="inlineStr">
        <x:is>
          <x:t xml:space="preserve">Lê Văn Cường</x:t>
        </x:is>
      </x:c>
      <x:c r="F34" s="36" t="inlineStr">
        <x:is>
          <x:t xml:space="preserve">Frontend + E2E</x:t>
        </x:is>
      </x:c>
      <x:c r="G34" s="34" t="inlineStr">
        <x:is>
          <x:t xml:space="preserve">TASK-003</x:t>
        </x:is>
      </x:c>
      <x:c r="H34" s="36" t="inlineStr">
        <x:is>
          <x:t xml:space="preserve">feat/task-003-ui-scaffold</x:t>
        </x:is>
      </x:c>
      <x:c r="I34" s="34" t="n">
        <x:v>8</x:v>
      </x:c>
      <x:c r="J34" s="36" t="inlineStr">
        <x:is>
          <x:t xml:space="preserve">feat(frontend): add loading, empty and error states</x:t>
        </x:is>
      </x:c>
      <x:c r="K34" s="36" t="n"/>
      <x:c r="L34" s="36" t="n"/>
      <x:c r="M34" s="37" t="str">
        <x:v>Done</x:v>
      </x:c>
      <x:c r="N34" s="49" t="str">
        <x:v>daecbc6</x:v>
      </x:c>
      <x:c r="O34" s="38" t="str">
        <x:v>Hoàn thành gộp ngày 25/10/2026; không tách thành 10 commit riêng như lịch.</x:v>
      </x:c>
    </x:row>
    <x:row r="35" s="25" customFormat="1" ht="15" customHeight="1">
      <x:c r="A35" s="34" t="inlineStr">
        <x:is>
          <x:t xml:space="preserve">C029</x:t>
        </x:is>
      </x:c>
      <x:c r="B35" s="34" t="n">
        <x:v>1</x:v>
      </x:c>
      <x:c r="C35" s="35" t="n">
        <x:f>$B$4+4</x:f>
        <x:v>46325</x:v>
      </x:c>
      <x:c r="D35" s="34" t="inlineStr">
        <x:is>
          <x:t xml:space="preserve">Thứ 6</x:t>
        </x:is>
      </x:c>
      <x:c r="E35" s="36" t="inlineStr">
        <x:is>
          <x:t xml:space="preserve">Lê Văn Cường</x:t>
        </x:is>
      </x:c>
      <x:c r="F35" s="36" t="inlineStr">
        <x:is>
          <x:t xml:space="preserve">Frontend + E2E</x:t>
        </x:is>
      </x:c>
      <x:c r="G35" s="34" t="inlineStr">
        <x:is>
          <x:t xml:space="preserve">TASK-003</x:t>
        </x:is>
      </x:c>
      <x:c r="H35" s="36" t="inlineStr">
        <x:is>
          <x:t xml:space="preserve">feat/task-003-ui-scaffold</x:t>
        </x:is>
      </x:c>
      <x:c r="I35" s="34" t="n">
        <x:v>9</x:v>
      </x:c>
      <x:c r="J35" s="36" t="inlineStr">
        <x:is>
          <x:t xml:space="preserve">chore(frontend): proxy /api to backend in Vite dev server</x:t>
        </x:is>
      </x:c>
      <x:c r="K35" s="36" t="n"/>
      <x:c r="L35" s="36" t="n"/>
      <x:c r="M35" s="37" t="str">
        <x:v>Done</x:v>
      </x:c>
      <x:c r="N35" s="49" t="str">
        <x:v>daecbc6</x:v>
      </x:c>
      <x:c r="O35" s="38" t="str">
        <x:v>Hoàn thành gộp ngày 25/10/2026; không tách thành 10 commit riêng như lịch.</x:v>
      </x:c>
    </x:row>
    <x:row r="36" s="25" customFormat="1" ht="15" customHeight="1">
      <x:c r="A36" s="34" t="inlineStr">
        <x:is>
          <x:t xml:space="preserve">C030</x:t>
        </x:is>
      </x:c>
      <x:c r="B36" s="34" t="n">
        <x:v>1</x:v>
      </x:c>
      <x:c r="C36" s="35" t="n">
        <x:f>$B$4+4</x:f>
        <x:v>46325</x:v>
      </x:c>
      <x:c r="D36" s="34" t="inlineStr">
        <x:is>
          <x:t xml:space="preserve">Thứ 6</x:t>
        </x:is>
      </x:c>
      <x:c r="E36" s="36" t="inlineStr">
        <x:is>
          <x:t xml:space="preserve">Lê Văn Cường</x:t>
        </x:is>
      </x:c>
      <x:c r="F36" s="36" t="inlineStr">
        <x:is>
          <x:t xml:space="preserve">Frontend + E2E</x:t>
        </x:is>
      </x:c>
      <x:c r="G36" s="34" t="inlineStr">
        <x:is>
          <x:t xml:space="preserve">TASK-003</x:t>
        </x:is>
      </x:c>
      <x:c r="H36" s="36" t="inlineStr">
        <x:is>
          <x:t xml:space="preserve">feat/task-003-ui-scaffold</x:t>
        </x:is>
      </x:c>
      <x:c r="I36" s="34" t="n">
        <x:v>10</x:v>
      </x:c>
      <x:c r="J36" s="36" t="inlineStr">
        <x:is>
          <x:t xml:space="preserve">docs(frontend): add run instructions</x:t>
        </x:is>
      </x:c>
      <x:c r="K36" s="36" t="inlineStr">
        <x:is>
          <x:t xml:space="preserve">frontend/README.md</x:t>
        </x:is>
      </x:c>
      <x:c r="L36" s="36" t="n"/>
      <x:c r="M36" s="37" t="str">
        <x:v>Done</x:v>
      </x:c>
      <x:c r="N36" s="49" t="str">
        <x:v>daecbc6</x:v>
      </x:c>
      <x:c r="O36" s="38" t="str">
        <x:v>Hoàn thành gộp ngày 25/10/2026; không tách thành 10 commit riêng như lịch.</x:v>
      </x:c>
    </x:row>
    <x:row r="37" s="25" customFormat="1" ht="15" customHeight="1">
      <x:c r="A37" s="34" t="inlineStr">
        <x:is>
          <x:t xml:space="preserve">C031</x:t>
        </x:is>
      </x:c>
      <x:c r="B37" s="34" t="n">
        <x:v>1</x:v>
      </x:c>
      <x:c r="C37" s="35" t="n">
        <x:f>$B$4+0</x:f>
        <x:v>46321</x:v>
      </x:c>
      <x:c r="D37" s="34" t="inlineStr">
        <x:is>
          <x:t xml:space="preserve">Thứ 2</x:t>
        </x:is>
      </x:c>
      <x:c r="E37" s="36" t="inlineStr">
        <x:is>
          <x:t xml:space="preserve">Nguyễn Việt Anh</x:t>
        </x:is>
      </x:c>
      <x:c r="F37" s="36" t="inlineStr">
        <x:is>
          <x:t xml:space="preserve">Release + độ tin cậy</x:t>
        </x:is>
      </x:c>
      <x:c r="G37" s="34" t="inlineStr">
        <x:is>
          <x:t xml:space="preserve">TASK-005</x:t>
        </x:is>
      </x:c>
      <x:c r="H37" s="36" t="inlineStr">
        <x:is>
          <x:t xml:space="preserve">feat/task-005-manifest-frontend</x:t>
        </x:is>
      </x:c>
      <x:c r="I37" s="34" t="n">
        <x:v>1</x:v>
      </x:c>
      <x:c r="J37" s="36" t="inlineStr">
        <x:is>
          <x:t xml:space="preserve">feat(release): add frontend image to manifest schema</x:t>
        </x:is>
      </x:c>
      <x:c r="K37" s="36" t="n"/>
      <x:c r="L37" s="36" t="n"/>
      <x:c r="M37" s="37" t="str">
        <x:v>Done</x:v>
      </x:c>
      <x:c r="N37" s="49" t="str">
        <x:v>b2af4b3</x:v>
      </x:c>
      <x:c r="O37" s="38" t="str">
        <x:v>Đối chiếu Git: hoàn thành ngày 21/10/2026, trước lịch Tuần 1.</x:v>
      </x:c>
    </x:row>
    <x:row r="38" s="25" customFormat="1" ht="15" customHeight="1">
      <x:c r="A38" s="34" t="inlineStr">
        <x:is>
          <x:t xml:space="preserve">C032</x:t>
        </x:is>
      </x:c>
      <x:c r="B38" s="34" t="n">
        <x:v>1</x:v>
      </x:c>
      <x:c r="C38" s="35" t="n">
        <x:f>$B$4+0</x:f>
        <x:v>46321</x:v>
      </x:c>
      <x:c r="D38" s="34" t="inlineStr">
        <x:is>
          <x:t xml:space="preserve">Thứ 2</x:t>
        </x:is>
      </x:c>
      <x:c r="E38" s="36" t="inlineStr">
        <x:is>
          <x:t xml:space="preserve">Nguyễn Việt Anh</x:t>
        </x:is>
      </x:c>
      <x:c r="F38" s="36" t="inlineStr">
        <x:is>
          <x:t xml:space="preserve">Release + độ tin cậy</x:t>
        </x:is>
      </x:c>
      <x:c r="G38" s="34" t="inlineStr">
        <x:is>
          <x:t xml:space="preserve">TASK-005</x:t>
        </x:is>
      </x:c>
      <x:c r="H38" s="36" t="inlineStr">
        <x:is>
          <x:t xml:space="preserve">feat/task-005-manifest-frontend</x:t>
        </x:is>
      </x:c>
      <x:c r="I38" s="34" t="n">
        <x:v>2</x:v>
      </x:c>
      <x:c r="J38" s="36" t="inlineStr">
        <x:is>
          <x:t xml:space="preserve">test(release): validate frontend digest in manifest</x:t>
        </x:is>
      </x:c>
      <x:c r="K38" s="36" t="n"/>
      <x:c r="L38" s="36" t="n"/>
      <x:c r="M38" s="37" t="str">
        <x:v>Done</x:v>
      </x:c>
      <x:c r="N38" s="49" t="str">
        <x:v>04f9805</x:v>
      </x:c>
      <x:c r="O38" s="38" t="str">
        <x:v>Đối chiếu Git: hoàn thành ngày 21/10/2026, trước lịch Tuần 1.</x:v>
      </x:c>
    </x:row>
    <x:row r="39" s="25" customFormat="1" ht="15" customHeight="1">
      <x:c r="A39" s="34" t="inlineStr">
        <x:is>
          <x:t xml:space="preserve">C033</x:t>
        </x:is>
      </x:c>
      <x:c r="B39" s="34" t="n">
        <x:v>1</x:v>
      </x:c>
      <x:c r="C39" s="35" t="n">
        <x:f>$B$4+1</x:f>
        <x:v>46322</x:v>
      </x:c>
      <x:c r="D39" s="34" t="inlineStr">
        <x:is>
          <x:t xml:space="preserve">Thứ 3</x:t>
        </x:is>
      </x:c>
      <x:c r="E39" s="36" t="inlineStr">
        <x:is>
          <x:t xml:space="preserve">Nguyễn Việt Anh</x:t>
        </x:is>
      </x:c>
      <x:c r="F39" s="36" t="inlineStr">
        <x:is>
          <x:t xml:space="preserve">Release + độ tin cậy</x:t>
        </x:is>
      </x:c>
      <x:c r="G39" s="34" t="inlineStr">
        <x:is>
          <x:t xml:space="preserve">TASK-005</x:t>
        </x:is>
      </x:c>
      <x:c r="H39" s="36" t="inlineStr">
        <x:is>
          <x:t xml:space="preserve">feat/task-005-manifest-frontend</x:t>
        </x:is>
      </x:c>
      <x:c r="I39" s="34" t="n">
        <x:v>3</x:v>
      </x:c>
      <x:c r="J39" s="36" t="inlineStr">
        <x:is>
          <x:t xml:space="preserve">refactor(scripts): extract compose command builder</x:t>
        </x:is>
      </x:c>
      <x:c r="K39" s="36" t="inlineStr">
        <x:is>
          <x:t xml:space="preserve">Dùng chung cho deploy và rollback</x:t>
        </x:is>
      </x:c>
      <x:c r="L39" s="36" t="n"/>
      <x:c r="M39" s="37" t="str">
        <x:v>Done</x:v>
      </x:c>
      <x:c r="N39" s="49" t="str">
        <x:v>3411f3f</x:v>
      </x:c>
      <x:c r="O39" s="38" t="str">
        <x:v>Đối chiếu Git: hoàn thành ngày 21/10/2026, trước lịch Tuần 1.</x:v>
      </x:c>
    </x:row>
    <x:row r="40" s="25" customFormat="1" ht="23.850000381469727" customHeight="1">
      <x:c r="A40" s="34" t="inlineStr">
        <x:is>
          <x:t xml:space="preserve">C034</x:t>
        </x:is>
      </x:c>
      <x:c r="B40" s="34" t="n">
        <x:v>1</x:v>
      </x:c>
      <x:c r="C40" s="35" t="n">
        <x:f>$B$4+1</x:f>
        <x:v>46322</x:v>
      </x:c>
      <x:c r="D40" s="34" t="inlineStr">
        <x:is>
          <x:t xml:space="preserve">Thứ 3</x:t>
        </x:is>
      </x:c>
      <x:c r="E40" s="36" t="inlineStr">
        <x:is>
          <x:t xml:space="preserve">Nguyễn Việt Anh</x:t>
        </x:is>
      </x:c>
      <x:c r="F40" s="36" t="inlineStr">
        <x:is>
          <x:t xml:space="preserve">Release + độ tin cậy</x:t>
        </x:is>
      </x:c>
      <x:c r="G40" s="34" t="inlineStr">
        <x:is>
          <x:t xml:space="preserve">TASK-005</x:t>
        </x:is>
      </x:c>
      <x:c r="H40" s="36" t="inlineStr">
        <x:is>
          <x:t xml:space="preserve">feat/task-005-manifest-frontend</x:t>
        </x:is>
      </x:c>
      <x:c r="I40" s="34" t="n">
        <x:v>4</x:v>
      </x:c>
      <x:c r="J40" s="36" t="inlineStr">
        <x:is>
          <x:t xml:space="preserve">feat(scripts): make state dir configurable via BOOKING_STATE_DIR</x:t>
        </x:is>
      </x:c>
      <x:c r="K40" s="36" t="inlineStr">
        <x:is>
          <x:t xml:space="preserve">Cho máy demo dùng /opt/booking/state</x:t>
        </x:is>
      </x:c>
      <x:c r="L40" s="36" t="n"/>
      <x:c r="M40" s="37" t="str">
        <x:v>Done</x:v>
      </x:c>
      <x:c r="N40" s="49" t="str">
        <x:v>bf46428</x:v>
      </x:c>
      <x:c r="O40" s="38" t="str">
        <x:v>Đối chiếu Git: hoàn thành ngày 21/10/2026, trước lịch Tuần 1.</x:v>
      </x:c>
    </x:row>
    <x:row r="41" s="25" customFormat="1" ht="15" customHeight="1">
      <x:c r="A41" s="34" t="inlineStr">
        <x:is>
          <x:t xml:space="preserve">C035</x:t>
        </x:is>
      </x:c>
      <x:c r="B41" s="34" t="n">
        <x:v>1</x:v>
      </x:c>
      <x:c r="C41" s="35" t="n">
        <x:f>$B$4+2</x:f>
        <x:v>46323</x:v>
      </x:c>
      <x:c r="D41" s="34" t="inlineStr">
        <x:is>
          <x:t xml:space="preserve">Thứ 4</x:t>
        </x:is>
      </x:c>
      <x:c r="E41" s="36" t="inlineStr">
        <x:is>
          <x:t xml:space="preserve">Nguyễn Việt Anh</x:t>
        </x:is>
      </x:c>
      <x:c r="F41" s="36" t="inlineStr">
        <x:is>
          <x:t xml:space="preserve">Release + độ tin cậy</x:t>
        </x:is>
      </x:c>
      <x:c r="G41" s="34" t="inlineStr">
        <x:is>
          <x:t xml:space="preserve">TASK-005</x:t>
        </x:is>
      </x:c>
      <x:c r="H41" s="36" t="inlineStr">
        <x:is>
          <x:t xml:space="preserve">feat/task-005-manifest-frontend</x:t>
        </x:is>
      </x:c>
      <x:c r="I41" s="34" t="n">
        <x:v>5</x:v>
      </x:c>
      <x:c r="J41" s="36" t="inlineStr">
        <x:is>
          <x:t xml:space="preserve">test(scripts): cover configurable state dir</x:t>
        </x:is>
      </x:c>
      <x:c r="K41" s="36" t="n"/>
      <x:c r="L41" s="36" t="n"/>
      <x:c r="M41" s="37" t="str">
        <x:v>Done</x:v>
      </x:c>
      <x:c r="N41" s="49" t="str">
        <x:v>f129bc8</x:v>
      </x:c>
      <x:c r="O41" s="38" t="str">
        <x:v>Đối chiếu Git: hoàn thành ngày 23/10/2026, trước lịch Tuần 1.</x:v>
      </x:c>
    </x:row>
    <x:row r="42" s="25" customFormat="1" ht="15" customHeight="1">
      <x:c r="A42" s="34" t="inlineStr">
        <x:is>
          <x:t xml:space="preserve">C036</x:t>
        </x:is>
      </x:c>
      <x:c r="B42" s="34" t="n">
        <x:v>1</x:v>
      </x:c>
      <x:c r="C42" s="35" t="n">
        <x:f>$B$4+2</x:f>
        <x:v>46323</x:v>
      </x:c>
      <x:c r="D42" s="34" t="inlineStr">
        <x:is>
          <x:t xml:space="preserve">Thứ 4</x:t>
        </x:is>
      </x:c>
      <x:c r="E42" s="36" t="inlineStr">
        <x:is>
          <x:t xml:space="preserve">Nguyễn Việt Anh</x:t>
        </x:is>
      </x:c>
      <x:c r="F42" s="36" t="inlineStr">
        <x:is>
          <x:t xml:space="preserve">Release + độ tin cậy</x:t>
        </x:is>
      </x:c>
      <x:c r="G42" s="34" t="inlineStr">
        <x:is>
          <x:t xml:space="preserve">TASK-005</x:t>
        </x:is>
      </x:c>
      <x:c r="H42" s="36" t="inlineStr">
        <x:is>
          <x:t xml:space="preserve">feat/task-005-manifest-frontend</x:t>
        </x:is>
      </x:c>
      <x:c r="I42" s="34" t="n">
        <x:v>6</x:v>
      </x:c>
      <x:c r="J42" s="36" t="inlineStr">
        <x:is>
          <x:t xml:space="preserve">feat(scripts): record deploy start and end in history file</x:t>
        </x:is>
      </x:c>
      <x:c r="K42" s="36" t="inlineStr">
        <x:is>
          <x:t xml:space="preserve">Đo thời gian deploy/rollback</x:t>
        </x:is>
      </x:c>
      <x:c r="L42" s="36" t="n"/>
      <x:c r="M42" s="37" t="str">
        <x:v>Done</x:v>
      </x:c>
      <x:c r="N42" s="49" t="str">
        <x:v>520b660</x:v>
      </x:c>
      <x:c r="O42" s="38" t="str">
        <x:v>Đối chiếu Git: hoàn thành ngày 23/10/2026, trước lịch Tuần 1.</x:v>
      </x:c>
    </x:row>
    <x:row r="43" s="25" customFormat="1" ht="15" customHeight="1">
      <x:c r="A43" s="34" t="inlineStr">
        <x:is>
          <x:t xml:space="preserve">C037</x:t>
        </x:is>
      </x:c>
      <x:c r="B43" s="34" t="n">
        <x:v>1</x:v>
      </x:c>
      <x:c r="C43" s="35" t="n">
        <x:f>$B$4+3</x:f>
        <x:v>46324</x:v>
      </x:c>
      <x:c r="D43" s="34" t="inlineStr">
        <x:is>
          <x:t xml:space="preserve">Thứ 5</x:t>
        </x:is>
      </x:c>
      <x:c r="E43" s="36" t="inlineStr">
        <x:is>
          <x:t xml:space="preserve">Nguyễn Việt Anh</x:t>
        </x:is>
      </x:c>
      <x:c r="F43" s="36" t="inlineStr">
        <x:is>
          <x:t xml:space="preserve">Release + độ tin cậy</x:t>
        </x:is>
      </x:c>
      <x:c r="G43" s="34" t="inlineStr">
        <x:is>
          <x:t xml:space="preserve">TASK-005</x:t>
        </x:is>
      </x:c>
      <x:c r="H43" s="36" t="inlineStr">
        <x:is>
          <x:t xml:space="preserve">feat/task-005-manifest-frontend</x:t>
        </x:is>
      </x:c>
      <x:c r="I43" s="34" t="n">
        <x:v>7</x:v>
      </x:c>
      <x:c r="J43" s="36" t="inlineStr">
        <x:is>
          <x:t xml:space="preserve">test(scripts): cover deploy history file</x:t>
        </x:is>
      </x:c>
      <x:c r="K43" s="36" t="n"/>
      <x:c r="L43" s="36" t="n"/>
      <x:c r="M43" s="37" t="str">
        <x:v>Done</x:v>
      </x:c>
      <x:c r="N43" s="49" t="str">
        <x:v>85cb977</x:v>
      </x:c>
      <x:c r="O43" s="38" t="str">
        <x:v>Đối chiếu Git: hoàn thành ngày 23/10/2026, trước lịch Tuần 1.</x:v>
      </x:c>
    </x:row>
    <x:row r="44" s="25" customFormat="1" ht="15" customHeight="1">
      <x:c r="A44" s="34" t="inlineStr">
        <x:is>
          <x:t xml:space="preserve">C038</x:t>
        </x:is>
      </x:c>
      <x:c r="B44" s="34" t="n">
        <x:v>1</x:v>
      </x:c>
      <x:c r="C44" s="35" t="n">
        <x:f>$B$4+3</x:f>
        <x:v>46324</x:v>
      </x:c>
      <x:c r="D44" s="34" t="inlineStr">
        <x:is>
          <x:t xml:space="preserve">Thứ 5</x:t>
        </x:is>
      </x:c>
      <x:c r="E44" s="36" t="inlineStr">
        <x:is>
          <x:t xml:space="preserve">Nguyễn Việt Anh</x:t>
        </x:is>
      </x:c>
      <x:c r="F44" s="36" t="inlineStr">
        <x:is>
          <x:t xml:space="preserve">Release + độ tin cậy</x:t>
        </x:is>
      </x:c>
      <x:c r="G44" s="34" t="inlineStr">
        <x:is>
          <x:t xml:space="preserve">TASK-005</x:t>
        </x:is>
      </x:c>
      <x:c r="H44" s="36" t="inlineStr">
        <x:is>
          <x:t xml:space="preserve">feat/task-005-manifest-frontend</x:t>
        </x:is>
      </x:c>
      <x:c r="I44" s="34" t="n">
        <x:v>8</x:v>
      </x:c>
      <x:c r="J44" s="36" t="inlineStr">
        <x:is>
          <x:t xml:space="preserve">docs(releases): update release process</x:t>
        </x:is>
      </x:c>
      <x:c r="K44" s="36" t="n"/>
      <x:c r="L44" s="36" t="n"/>
      <x:c r="M44" s="37" t="str">
        <x:v>Done</x:v>
      </x:c>
      <x:c r="N44" s="49" t="str">
        <x:v>816c3b6</x:v>
      </x:c>
      <x:c r="O44" s="38" t="str">
        <x:v>Đối chiếu Git: hoàn thành ngày 23/10/2026, trước lịch Tuần 1.</x:v>
      </x:c>
    </x:row>
    <x:row r="45" s="25" customFormat="1" ht="15" customHeight="1">
      <x:c r="A45" s="34" t="inlineStr">
        <x:is>
          <x:t xml:space="preserve">C039</x:t>
        </x:is>
      </x:c>
      <x:c r="B45" s="34" t="n">
        <x:v>1</x:v>
      </x:c>
      <x:c r="C45" s="35" t="n">
        <x:f>$B$4+4</x:f>
        <x:v>46325</x:v>
      </x:c>
      <x:c r="D45" s="34" t="inlineStr">
        <x:is>
          <x:t xml:space="preserve">Thứ 6</x:t>
        </x:is>
      </x:c>
      <x:c r="E45" s="36" t="inlineStr">
        <x:is>
          <x:t xml:space="preserve">Nguyễn Việt Anh</x:t>
        </x:is>
      </x:c>
      <x:c r="F45" s="36" t="inlineStr">
        <x:is>
          <x:t xml:space="preserve">Release + độ tin cậy</x:t>
        </x:is>
      </x:c>
      <x:c r="G45" s="34" t="inlineStr">
        <x:is>
          <x:t xml:space="preserve">TASK-005</x:t>
        </x:is>
      </x:c>
      <x:c r="H45" s="36" t="inlineStr">
        <x:is>
          <x:t xml:space="preserve">feat/task-005-manifest-frontend</x:t>
        </x:is>
      </x:c>
      <x:c r="I45" s="34" t="n">
        <x:v>9</x:v>
      </x:c>
      <x:c r="J45" s="36" t="inlineStr">
        <x:is>
          <x:t xml:space="preserve">chore(loadtest): scaffold k6 directory</x:t>
        </x:is>
      </x:c>
      <x:c r="K45" s="36" t="inlineStr">
        <x:is>
          <x:t xml:space="preserve">loadtest/ + README</x:t>
        </x:is>
      </x:c>
      <x:c r="L45" s="36" t="n"/>
      <x:c r="M45" s="37" t="str">
        <x:v>Done</x:v>
      </x:c>
      <x:c r="N45" s="49" t="str">
        <x:v>c52b639</x:v>
      </x:c>
      <x:c r="O45" s="38" t="str">
        <x:v>Đối chiếu Git: hoàn thành ngày 23/10/2026, trước lịch Tuần 1.</x:v>
      </x:c>
    </x:row>
    <x:row r="46" s="25" customFormat="1" ht="15" customHeight="1">
      <x:c r="A46" s="34" t="inlineStr">
        <x:is>
          <x:t xml:space="preserve">C040</x:t>
        </x:is>
      </x:c>
      <x:c r="B46" s="34" t="n">
        <x:v>1</x:v>
      </x:c>
      <x:c r="C46" s="35" t="n">
        <x:f>$B$4+4</x:f>
        <x:v>46325</x:v>
      </x:c>
      <x:c r="D46" s="34" t="inlineStr">
        <x:is>
          <x:t xml:space="preserve">Thứ 6</x:t>
        </x:is>
      </x:c>
      <x:c r="E46" s="36" t="inlineStr">
        <x:is>
          <x:t xml:space="preserve">Nguyễn Việt Anh</x:t>
        </x:is>
      </x:c>
      <x:c r="F46" s="36" t="inlineStr">
        <x:is>
          <x:t xml:space="preserve">Release + độ tin cậy</x:t>
        </x:is>
      </x:c>
      <x:c r="G46" s="34" t="inlineStr">
        <x:is>
          <x:t xml:space="preserve">TASK-005</x:t>
        </x:is>
      </x:c>
      <x:c r="H46" s="36" t="inlineStr">
        <x:is>
          <x:t xml:space="preserve">feat/task-005-manifest-frontend</x:t>
        </x:is>
      </x:c>
      <x:c r="I46" s="34" t="n">
        <x:v>10</x:v>
      </x:c>
      <x:c r="J46" s="36" t="inlineStr">
        <x:is>
          <x:t xml:space="preserve">feat(loadtest): add k6 scenario for listing slots</x:t>
        </x:is>
      </x:c>
      <x:c r="K46" s="36" t="n"/>
      <x:c r="L46" s="36" t="n"/>
      <x:c r="M46" s="37" t="str">
        <x:v>Done</x:v>
      </x:c>
      <x:c r="N46" s="49" t="str">
        <x:v>e7da4f3</x:v>
      </x:c>
      <x:c r="O46" s="38" t="str">
        <x:v>Đối chiếu Git: hoàn thành ngày 23/10/2026, trước lịch Tuần 1.</x:v>
      </x:c>
    </x:row>
    <x:row r="47" s="25" customFormat="1" ht="23.850000381469727" customHeight="1">
      <x:c r="A47" s="34" t="inlineStr">
        <x:is>
          <x:t xml:space="preserve">C041</x:t>
        </x:is>
      </x:c>
      <x:c r="B47" s="34" t="n">
        <x:v>1</x:v>
      </x:c>
      <x:c r="C47" s="35" t="n">
        <x:f>$B$4+0</x:f>
        <x:v>46321</x:v>
      </x:c>
      <x:c r="D47" s="34" t="inlineStr">
        <x:is>
          <x:t xml:space="preserve">Thứ 2</x:t>
        </x:is>
      </x:c>
      <x:c r="E47" s="36" t="inlineStr">
        <x:is>
          <x:t xml:space="preserve">Vũ Thành Công</x:t>
        </x:is>
      </x:c>
      <x:c r="F47" s="36" t="inlineStr">
        <x:is>
          <x:t xml:space="preserve">Observability</x:t>
        </x:is>
      </x:c>
      <x:c r="G47" s="34" t="inlineStr">
        <x:is>
          <x:t xml:space="preserve">TASK-006</x:t>
        </x:is>
      </x:c>
      <x:c r="H47" s="36" t="inlineStr">
        <x:is>
          <x:t xml:space="preserve">feat/task-006-otel-traces</x:t>
        </x:is>
      </x:c>
      <x:c r="I47" s="34" t="n">
        <x:v>1</x:v>
      </x:c>
      <x:c r="J47" s="36" t="inlineStr">
        <x:is>
          <x:t xml:space="preserve">chore(backend): add OpenTelemetry SDK and instrumentation deps</x:t>
        </x:is>
      </x:c>
      <x:c r="K47" s="36" t="n"/>
      <x:c r="L47" s="36" t="n"/>
      <x:c r="M47" s="37" t="str">
        <x:v>Done</x:v>
      </x:c>
      <x:c r="N47" s="49" t="str">
        <x:v>3fa1b32</x:v>
      </x:c>
      <x:c r="O47" s="38" t="str">
        <x:v>Hoàn thành trong commit phối hợp của Cương ngày 21/10/2026; không tách riêng theo lịch.</x:v>
      </x:c>
    </x:row>
    <x:row r="48" s="25" customFormat="1" ht="15" customHeight="1">
      <x:c r="A48" s="34" t="inlineStr">
        <x:is>
          <x:t xml:space="preserve">C042</x:t>
        </x:is>
      </x:c>
      <x:c r="B48" s="34" t="n">
        <x:v>1</x:v>
      </x:c>
      <x:c r="C48" s="35" t="n">
        <x:f>$B$4+0</x:f>
        <x:v>46321</x:v>
      </x:c>
      <x:c r="D48" s="34" t="inlineStr">
        <x:is>
          <x:t xml:space="preserve">Thứ 2</x:t>
        </x:is>
      </x:c>
      <x:c r="E48" s="36" t="inlineStr">
        <x:is>
          <x:t xml:space="preserve">Vũ Thành Công</x:t>
        </x:is>
      </x:c>
      <x:c r="F48" s="36" t="inlineStr">
        <x:is>
          <x:t xml:space="preserve">Observability</x:t>
        </x:is>
      </x:c>
      <x:c r="G48" s="34" t="inlineStr">
        <x:is>
          <x:t xml:space="preserve">TASK-006</x:t>
        </x:is>
      </x:c>
      <x:c r="H48" s="36" t="inlineStr">
        <x:is>
          <x:t xml:space="preserve">feat/task-006-otel-traces</x:t>
        </x:is>
      </x:c>
      <x:c r="I48" s="34" t="n">
        <x:v>2</x:v>
      </x:c>
      <x:c r="J48" s="36" t="inlineStr">
        <x:is>
          <x:t xml:space="preserve">feat(telemetry): add setup_telemetry module skeleton</x:t>
        </x:is>
      </x:c>
      <x:c r="K48" s="36" t="inlineStr">
        <x:is>
          <x:t xml:space="preserve">backend/app/telemetry/</x:t>
        </x:is>
      </x:c>
      <x:c r="L48" s="36" t="n"/>
      <x:c r="M48" s="37" t="str">
        <x:v>Done</x:v>
      </x:c>
      <x:c r="N48" s="49" t="str">
        <x:v>3fa1b32</x:v>
      </x:c>
      <x:c r="O48" s="38" t="str">
        <x:v>Hoàn thành trong commit phối hợp của Cương ngày 21/10/2026; không tách riêng theo lịch.</x:v>
      </x:c>
    </x:row>
    <x:row r="49" s="25" customFormat="1" ht="23.850000381469727" customHeight="1">
      <x:c r="A49" s="34" t="inlineStr">
        <x:is>
          <x:t xml:space="preserve">C043</x:t>
        </x:is>
      </x:c>
      <x:c r="B49" s="34" t="n">
        <x:v>1</x:v>
      </x:c>
      <x:c r="C49" s="35" t="n">
        <x:f>$B$4+1</x:f>
        <x:v>46322</x:v>
      </x:c>
      <x:c r="D49" s="34" t="inlineStr">
        <x:is>
          <x:t xml:space="preserve">Thứ 3</x:t>
        </x:is>
      </x:c>
      <x:c r="E49" s="36" t="inlineStr">
        <x:is>
          <x:t xml:space="preserve">Vũ Thành Công</x:t>
        </x:is>
      </x:c>
      <x:c r="F49" s="36" t="inlineStr">
        <x:is>
          <x:t xml:space="preserve">Observability</x:t>
        </x:is>
      </x:c>
      <x:c r="G49" s="34" t="inlineStr">
        <x:is>
          <x:t xml:space="preserve">TASK-006</x:t>
        </x:is>
      </x:c>
      <x:c r="H49" s="36" t="inlineStr">
        <x:is>
          <x:t xml:space="preserve">feat/task-006-otel-traces</x:t>
        </x:is>
      </x:c>
      <x:c r="I49" s="34" t="n">
        <x:v>3</x:v>
      </x:c>
      <x:c r="J49" s="36" t="inlineStr">
        <x:is>
          <x:t xml:space="preserve">feat(telemetry): set service name, version and environment resource</x:t>
        </x:is>
      </x:c>
      <x:c r="K49" s="36" t="n"/>
      <x:c r="L49" s="36" t="n"/>
      <x:c r="M49" s="37" t="str">
        <x:v>Done</x:v>
      </x:c>
      <x:c r="N49" s="49" t="str">
        <x:v>3fa1b32</x:v>
      </x:c>
      <x:c r="O49" s="38" t="str">
        <x:v>Hoàn thành trong commit phối hợp của Cương ngày 21/10/2026; không tách riêng theo lịch.</x:v>
      </x:c>
    </x:row>
    <x:row r="50" s="25" customFormat="1" ht="15" customHeight="1">
      <x:c r="A50" s="34" t="inlineStr">
        <x:is>
          <x:t xml:space="preserve">C044</x:t>
        </x:is>
      </x:c>
      <x:c r="B50" s="34" t="n">
        <x:v>1</x:v>
      </x:c>
      <x:c r="C50" s="35" t="n">
        <x:f>$B$4+1</x:f>
        <x:v>46322</x:v>
      </x:c>
      <x:c r="D50" s="34" t="inlineStr">
        <x:is>
          <x:t xml:space="preserve">Thứ 3</x:t>
        </x:is>
      </x:c>
      <x:c r="E50" s="36" t="inlineStr">
        <x:is>
          <x:t xml:space="preserve">Vũ Thành Công</x:t>
        </x:is>
      </x:c>
      <x:c r="F50" s="36" t="inlineStr">
        <x:is>
          <x:t xml:space="preserve">Observability</x:t>
        </x:is>
      </x:c>
      <x:c r="G50" s="34" t="inlineStr">
        <x:is>
          <x:t xml:space="preserve">TASK-006</x:t>
        </x:is>
      </x:c>
      <x:c r="H50" s="36" t="inlineStr">
        <x:is>
          <x:t xml:space="preserve">feat/task-006-otel-traces</x:t>
        </x:is>
      </x:c>
      <x:c r="I50" s="34" t="n">
        <x:v>4</x:v>
      </x:c>
      <x:c r="J50" s="36" t="inlineStr">
        <x:is>
          <x:t xml:space="preserve">feat(telemetry): add OTLP trace exporter with batch processor</x:t>
        </x:is>
      </x:c>
      <x:c r="K50" s="36" t="inlineStr">
        <x:is>
          <x:t xml:space="preserve">Timeout và queue giới hạn</x:t>
        </x:is>
      </x:c>
      <x:c r="L50" s="36" t="n"/>
      <x:c r="M50" s="37" t="str">
        <x:v>Done</x:v>
      </x:c>
      <x:c r="N50" s="49" t="str">
        <x:v>3fa1b32</x:v>
      </x:c>
      <x:c r="O50" s="38" t="str">
        <x:v>Hoàn thành trong commit phối hợp của Cương ngày 21/10/2026; không tách riêng theo lịch.</x:v>
      </x:c>
    </x:row>
    <x:row r="51" s="25" customFormat="1" ht="15" customHeight="1">
      <x:c r="A51" s="34" t="inlineStr">
        <x:is>
          <x:t xml:space="preserve">C045</x:t>
        </x:is>
      </x:c>
      <x:c r="B51" s="34" t="n">
        <x:v>1</x:v>
      </x:c>
      <x:c r="C51" s="35" t="n">
        <x:f>$B$4+2</x:f>
        <x:v>46323</x:v>
      </x:c>
      <x:c r="D51" s="34" t="inlineStr">
        <x:is>
          <x:t xml:space="preserve">Thứ 4</x:t>
        </x:is>
      </x:c>
      <x:c r="E51" s="36" t="inlineStr">
        <x:is>
          <x:t xml:space="preserve">Vũ Thành Công</x:t>
        </x:is>
      </x:c>
      <x:c r="F51" s="36" t="inlineStr">
        <x:is>
          <x:t xml:space="preserve">Observability</x:t>
        </x:is>
      </x:c>
      <x:c r="G51" s="34" t="inlineStr">
        <x:is>
          <x:t xml:space="preserve">TASK-006</x:t>
        </x:is>
      </x:c>
      <x:c r="H51" s="36" t="inlineStr">
        <x:is>
          <x:t xml:space="preserve">feat/task-006-otel-traces</x:t>
        </x:is>
      </x:c>
      <x:c r="I51" s="34" t="n">
        <x:v>5</x:v>
      </x:c>
      <x:c r="J51" s="36" t="inlineStr">
        <x:is>
          <x:t xml:space="preserve">feat(telemetry): instrument FastAPI excluding health endpoints</x:t>
        </x:is>
      </x:c>
      <x:c r="K51" s="36" t="n"/>
      <x:c r="L51" s="36" t="n"/>
      <x:c r="M51" s="37" t="str">
        <x:v>Done</x:v>
      </x:c>
      <x:c r="N51" s="49" t="str">
        <x:v>6b6bd5a</x:v>
      </x:c>
      <x:c r="O51" s="38" t="str">
        <x:v>Hoàn thành 25/10/2026: loại /health/live và /health/ready khỏi FastAPI tracing; 88 unit tests pass.</x:v>
      </x:c>
    </x:row>
    <x:row r="52" s="25" customFormat="1" ht="15" customHeight="1">
      <x:c r="A52" s="34" t="inlineStr">
        <x:is>
          <x:t xml:space="preserve">C046</x:t>
        </x:is>
      </x:c>
      <x:c r="B52" s="34" t="n">
        <x:v>1</x:v>
      </x:c>
      <x:c r="C52" s="35" t="n">
        <x:f>$B$4+2</x:f>
        <x:v>46323</x:v>
      </x:c>
      <x:c r="D52" s="34" t="inlineStr">
        <x:is>
          <x:t xml:space="preserve">Thứ 4</x:t>
        </x:is>
      </x:c>
      <x:c r="E52" s="36" t="inlineStr">
        <x:is>
          <x:t xml:space="preserve">Vũ Thành Công</x:t>
        </x:is>
      </x:c>
      <x:c r="F52" s="36" t="inlineStr">
        <x:is>
          <x:t xml:space="preserve">Observability</x:t>
        </x:is>
      </x:c>
      <x:c r="G52" s="34" t="inlineStr">
        <x:is>
          <x:t xml:space="preserve">TASK-006</x:t>
        </x:is>
      </x:c>
      <x:c r="H52" s="36" t="inlineStr">
        <x:is>
          <x:t xml:space="preserve">feat/task-006-otel-traces</x:t>
        </x:is>
      </x:c>
      <x:c r="I52" s="34" t="n">
        <x:v>6</x:v>
      </x:c>
      <x:c r="J52" s="36" t="inlineStr">
        <x:is>
          <x:t xml:space="preserve">feat(telemetry): instrument SQLAlchemy</x:t>
        </x:is>
      </x:c>
      <x:c r="K52" s="36" t="inlineStr">
        <x:is>
          <x:t xml:space="preserve">Span cho truy vấn DB</x:t>
        </x:is>
      </x:c>
      <x:c r="L52" s="36" t="n"/>
      <x:c r="M52" s="37" t="str">
        <x:v>Done</x:v>
      </x:c>
      <x:c r="N52" s="49" t="str">
        <x:v>3fa1b32</x:v>
      </x:c>
      <x:c r="O52" s="38" t="str">
        <x:v>Hoàn thành trong commit phối hợp của Cương ngày 21/10/2026; không tách riêng theo lịch.</x:v>
      </x:c>
    </x:row>
    <x:row r="53" s="25" customFormat="1" ht="15" customHeight="1">
      <x:c r="A53" s="34" t="inlineStr">
        <x:is>
          <x:t xml:space="preserve">C047</x:t>
        </x:is>
      </x:c>
      <x:c r="B53" s="34" t="n">
        <x:v>1</x:v>
      </x:c>
      <x:c r="C53" s="35" t="n">
        <x:f>$B$4+3</x:f>
        <x:v>46324</x:v>
      </x:c>
      <x:c r="D53" s="34" t="inlineStr">
        <x:is>
          <x:t xml:space="preserve">Thứ 5</x:t>
        </x:is>
      </x:c>
      <x:c r="E53" s="36" t="inlineStr">
        <x:is>
          <x:t xml:space="preserve">Vũ Thành Công</x:t>
        </x:is>
      </x:c>
      <x:c r="F53" s="36" t="inlineStr">
        <x:is>
          <x:t xml:space="preserve">Observability</x:t>
        </x:is>
      </x:c>
      <x:c r="G53" s="34" t="inlineStr">
        <x:is>
          <x:t xml:space="preserve">TASK-006</x:t>
        </x:is>
      </x:c>
      <x:c r="H53" s="36" t="inlineStr">
        <x:is>
          <x:t xml:space="preserve">feat/task-006-otel-traces</x:t>
        </x:is>
      </x:c>
      <x:c r="I53" s="34" t="n">
        <x:v>7</x:v>
      </x:c>
      <x:c r="J53" s="36" t="inlineStr">
        <x:is>
          <x:t xml:space="preserve">test(telemetry): assert spans with in-memory exporter</x:t>
        </x:is>
      </x:c>
      <x:c r="K53" s="36" t="n"/>
      <x:c r="L53" s="36" t="n"/>
      <x:c r="M53" s="37" t="str">
        <x:v>Done</x:v>
      </x:c>
      <x:c r="N53" s="49" t="str">
        <x:v>3fa1b32</x:v>
      </x:c>
      <x:c r="O53" s="38" t="str">
        <x:v>Hoàn thành trong commit phối hợp của Cương ngày 21/10/2026; không tách riêng theo lịch.</x:v>
      </x:c>
    </x:row>
    <x:row r="54" s="25" customFormat="1" ht="15" customHeight="1">
      <x:c r="A54" s="34" t="inlineStr">
        <x:is>
          <x:t xml:space="preserve">C048</x:t>
        </x:is>
      </x:c>
      <x:c r="B54" s="34" t="n">
        <x:v>1</x:v>
      </x:c>
      <x:c r="C54" s="35" t="n">
        <x:f>$B$4+3</x:f>
        <x:v>46324</x:v>
      </x:c>
      <x:c r="D54" s="34" t="inlineStr">
        <x:is>
          <x:t xml:space="preserve">Thứ 5</x:t>
        </x:is>
      </x:c>
      <x:c r="E54" s="36" t="inlineStr">
        <x:is>
          <x:t xml:space="preserve">Vũ Thành Công</x:t>
        </x:is>
      </x:c>
      <x:c r="F54" s="36" t="inlineStr">
        <x:is>
          <x:t xml:space="preserve">Observability</x:t>
        </x:is>
      </x:c>
      <x:c r="G54" s="34" t="inlineStr">
        <x:is>
          <x:t xml:space="preserve">TASK-006</x:t>
        </x:is>
      </x:c>
      <x:c r="H54" s="36" t="inlineStr">
        <x:is>
          <x:t xml:space="preserve">feat/task-006-otel-traces</x:t>
        </x:is>
      </x:c>
      <x:c r="I54" s="34" t="n">
        <x:v>8</x:v>
      </x:c>
      <x:c r="J54" s="36" t="inlineStr">
        <x:is>
          <x:t xml:space="preserve">feat(telemetry): allow disabling telemetry via env</x:t>
        </x:is>
      </x:c>
      <x:c r="K54" s="36" t="inlineStr">
        <x:is>
          <x:t xml:space="preserve">Cho test và local</x:t>
        </x:is>
      </x:c>
      <x:c r="L54" s="36" t="n"/>
      <x:c r="M54" s="37" t="str">
        <x:v>Done</x:v>
      </x:c>
      <x:c r="N54" s="49" t="str">
        <x:v>3fa1b32</x:v>
      </x:c>
      <x:c r="O54" s="38" t="str">
        <x:v>Hoàn thành trong commit phối hợp của Cương ngày 21/10/2026; không tách riêng theo lịch.</x:v>
      </x:c>
    </x:row>
    <x:row r="55" s="25" customFormat="1" ht="15" customHeight="1">
      <x:c r="A55" s="34" t="inlineStr">
        <x:is>
          <x:t xml:space="preserve">C049</x:t>
        </x:is>
      </x:c>
      <x:c r="B55" s="34" t="n">
        <x:v>1</x:v>
      </x:c>
      <x:c r="C55" s="35" t="n">
        <x:f>$B$4+4</x:f>
        <x:v>46325</x:v>
      </x:c>
      <x:c r="D55" s="34" t="inlineStr">
        <x:is>
          <x:t xml:space="preserve">Thứ 6</x:t>
        </x:is>
      </x:c>
      <x:c r="E55" s="36" t="inlineStr">
        <x:is>
          <x:t xml:space="preserve">Vũ Thành Công</x:t>
        </x:is>
      </x:c>
      <x:c r="F55" s="36" t="inlineStr">
        <x:is>
          <x:t xml:space="preserve">Observability</x:t>
        </x:is>
      </x:c>
      <x:c r="G55" s="34" t="inlineStr">
        <x:is>
          <x:t xml:space="preserve">TASK-006</x:t>
        </x:is>
      </x:c>
      <x:c r="H55" s="36" t="inlineStr">
        <x:is>
          <x:t xml:space="preserve">feat/task-006-otel-traces</x:t>
        </x:is>
      </x:c>
      <x:c r="I55" s="34" t="n">
        <x:v>9</x:v>
      </x:c>
      <x:c r="J55" s="36" t="inlineStr">
        <x:is>
          <x:t xml:space="preserve">docs(telemetry): add label cardinality rules</x:t>
        </x:is>
      </x:c>
      <x:c r="K55" s="36" t="inlineStr">
        <x:is>
          <x:t xml:space="preserve">Không dùng UUID/trace ID làm label</x:t>
        </x:is>
      </x:c>
      <x:c r="L55" s="36" t="n"/>
      <x:c r="M55" s="37" t="str">
        <x:v>Done</x:v>
      </x:c>
      <x:c r="N55" s="49" t="str">
        <x:v>3fa1b32</x:v>
      </x:c>
      <x:c r="O55" s="38" t="str">
        <x:v>Hoàn thành trong commit phối hợp của Cương ngày 21/10/2026; không tách riêng theo lịch.</x:v>
      </x:c>
    </x:row>
    <x:row r="56" s="25" customFormat="1" ht="15" customHeight="1">
      <x:c r="A56" s="34" t="inlineStr">
        <x:is>
          <x:t xml:space="preserve">C050</x:t>
        </x:is>
      </x:c>
      <x:c r="B56" s="34" t="n">
        <x:v>1</x:v>
      </x:c>
      <x:c r="C56" s="35" t="n">
        <x:f>$B$4+4</x:f>
        <x:v>46325</x:v>
      </x:c>
      <x:c r="D56" s="34" t="inlineStr">
        <x:is>
          <x:t xml:space="preserve">Thứ 6</x:t>
        </x:is>
      </x:c>
      <x:c r="E56" s="36" t="inlineStr">
        <x:is>
          <x:t xml:space="preserve">Vũ Thành Công</x:t>
        </x:is>
      </x:c>
      <x:c r="F56" s="36" t="inlineStr">
        <x:is>
          <x:t xml:space="preserve">Observability</x:t>
        </x:is>
      </x:c>
      <x:c r="G56" s="34" t="inlineStr">
        <x:is>
          <x:t xml:space="preserve">TASK-006</x:t>
        </x:is>
      </x:c>
      <x:c r="H56" s="36" t="inlineStr">
        <x:is>
          <x:t xml:space="preserve">feat/task-006-otel-traces</x:t>
        </x:is>
      </x:c>
      <x:c r="I56" s="34" t="n">
        <x:v>10</x:v>
      </x:c>
      <x:c r="J56" s="36" t="inlineStr">
        <x:is>
          <x:t xml:space="preserve">chore(dev): add otel-lgtm compose for quick local testing</x:t>
        </x:is>
      </x:c>
      <x:c r="K56" s="36" t="inlineStr">
        <x:is>
          <x:t xml:space="preserve">Thử telemetry trước khi có stack thật</x:t>
        </x:is>
      </x:c>
      <x:c r="L56" s="36" t="n"/>
      <x:c r="M56" s="37" t="str">
        <x:v>Done</x:v>
      </x:c>
      <x:c r="N56" s="49" t="str">
        <x:v>659b5ee</x:v>
      </x:c>
      <x:c r="O56" s="38" t="str">
        <x:v>Hoàn thành ngày 21/10/2026 bằng full observability overlay thay cho otel-lgtm riêng.</x:v>
      </x:c>
    </x:row>
    <x:row r="57" s="25" customFormat="1" ht="23.850000381469727" customHeight="1">
      <x:c r="A57" s="39" t="inlineStr">
        <x:is>
          <x:t xml:space="preserve">C051</x:t>
        </x:is>
      </x:c>
      <x:c r="B57" s="39" t="n">
        <x:v>2</x:v>
      </x:c>
      <x:c r="C57" s="40" t="n">
        <x:f>$B$4+7</x:f>
        <x:v>46328</x:v>
      </x:c>
      <x:c r="D57" s="39" t="inlineStr">
        <x:is>
          <x:t xml:space="preserve">Thứ 2</x:t>
        </x:is>
      </x:c>
      <x:c r="E57" s="41" t="inlineStr">
        <x:is>
          <x:t xml:space="preserve">Nguyễn Mai Hoàng Anh</x:t>
        </x:is>
      </x:c>
      <x:c r="F57" s="41" t="inlineStr">
        <x:is>
          <x:t xml:space="preserve">DevOps — CI/CD + hạ tầng monitoring</x:t>
        </x:is>
      </x:c>
      <x:c r="G57" s="39" t="inlineStr">
        <x:is>
          <x:t xml:space="preserve">TASK-004</x:t>
        </x:is>
      </x:c>
      <x:c r="H57" s="41" t="inlineStr">
        <x:is>
          <x:t xml:space="preserve">feat/task-004-cd-demo-host</x:t>
        </x:is>
      </x:c>
      <x:c r="I57" s="39" t="n">
        <x:v>1</x:v>
      </x:c>
      <x:c r="J57" s="41" t="inlineStr">
        <x:is>
          <x:t xml:space="preserve">docs(devops): add runbook for demo VM and self-hosted runner</x:t>
        </x:is>
      </x:c>
      <x:c r="K57" s="41" t="inlineStr">
        <x:is>
          <x:t xml:space="preserve">Các bước tạo VM Multipass, cài Docker, cài runner label demo</x:t>
        </x:is>
      </x:c>
      <x:c r="L57" s="41" t="n"/>
      <x:c r="M57" s="37" t="inlineStr">
        <x:is>
          <x:t xml:space="preserve">Todo</x:t>
        </x:is>
      </x:c>
      <x:c r="N57" s="38" t="n"/>
      <x:c r="O57" s="38" t="n"/>
    </x:row>
    <x:row r="58" s="25" customFormat="1" ht="23.850000381469727" customHeight="1">
      <x:c r="A58" s="39" t="inlineStr">
        <x:is>
          <x:t xml:space="preserve">C052</x:t>
        </x:is>
      </x:c>
      <x:c r="B58" s="39" t="n">
        <x:v>2</x:v>
      </x:c>
      <x:c r="C58" s="40" t="n">
        <x:f>$B$4+7</x:f>
        <x:v>46328</x:v>
      </x:c>
      <x:c r="D58" s="39" t="inlineStr">
        <x:is>
          <x:t xml:space="preserve">Thứ 2</x:t>
        </x:is>
      </x:c>
      <x:c r="E58" s="41" t="inlineStr">
        <x:is>
          <x:t xml:space="preserve">Nguyễn Mai Hoàng Anh</x:t>
        </x:is>
      </x:c>
      <x:c r="F58" s="41" t="inlineStr">
        <x:is>
          <x:t xml:space="preserve">DevOps — CI/CD + hạ tầng monitoring</x:t>
        </x:is>
      </x:c>
      <x:c r="G58" s="39" t="inlineStr">
        <x:is>
          <x:t xml:space="preserve">TASK-004</x:t>
        </x:is>
      </x:c>
      <x:c r="H58" s="41" t="inlineStr">
        <x:is>
          <x:t xml:space="preserve">feat/task-004-cd-demo-host</x:t>
        </x:is>
      </x:c>
      <x:c r="I58" s="39" t="n">
        <x:v>2</x:v>
      </x:c>
      <x:c r="J58" s="41" t="inlineStr">
        <x:is>
          <x:t xml:space="preserve">scripts: add bootstrap-host.sh for demo host setup</x:t>
        </x:is>
      </x:c>
      <x:c r="K58" s="41" t="inlineStr">
        <x:is>
          <x:t xml:space="preserve">Cài Docker, tạo /opt/booking/state, phân quyền</x:t>
        </x:is>
      </x:c>
      <x:c r="L58" s="41" t="n"/>
      <x:c r="M58" s="37" t="inlineStr">
        <x:is>
          <x:t xml:space="preserve">Todo</x:t>
        </x:is>
      </x:c>
      <x:c r="N58" s="38" t="n"/>
      <x:c r="O58" s="38" t="n"/>
    </x:row>
    <x:row r="59" s="25" customFormat="1" ht="23.850000381469727" customHeight="1">
      <x:c r="A59" s="39" t="inlineStr">
        <x:is>
          <x:t xml:space="preserve">C053</x:t>
        </x:is>
      </x:c>
      <x:c r="B59" s="39" t="n">
        <x:v>2</x:v>
      </x:c>
      <x:c r="C59" s="40" t="n">
        <x:f>$B$4+8</x:f>
        <x:v>46329</x:v>
      </x:c>
      <x:c r="D59" s="39" t="inlineStr">
        <x:is>
          <x:t xml:space="preserve">Thứ 3</x:t>
        </x:is>
      </x:c>
      <x:c r="E59" s="41" t="inlineStr">
        <x:is>
          <x:t xml:space="preserve">Nguyễn Mai Hoàng Anh</x:t>
        </x:is>
      </x:c>
      <x:c r="F59" s="41" t="inlineStr">
        <x:is>
          <x:t xml:space="preserve">DevOps — CI/CD + hạ tầng monitoring</x:t>
        </x:is>
      </x:c>
      <x:c r="G59" s="39" t="inlineStr">
        <x:is>
          <x:t xml:space="preserve">TASK-004</x:t>
        </x:is>
      </x:c>
      <x:c r="H59" s="41" t="inlineStr">
        <x:is>
          <x:t xml:space="preserve">feat/task-004-cd-demo-host</x:t>
        </x:is>
      </x:c>
      <x:c r="I59" s="39" t="n">
        <x:v>3</x:v>
      </x:c>
      <x:c r="J59" s="41" t="inlineStr">
        <x:is>
          <x:t xml:space="preserve">ci: add deploy workflow on self-hosted demo runner</x:t>
        </x:is>
      </x:c>
      <x:c r="K59" s="41" t="inlineStr">
        <x:is>
          <x:t xml:space="preserve">deploy.yml chạy bằng workflow_dispatch, input là tag</x:t>
        </x:is>
      </x:c>
      <x:c r="L59" s="41" t="inlineStr">
        <x:is>
          <x:t xml:space="preserve">Runner đã online</x:t>
        </x:is>
      </x:c>
      <x:c r="M59" s="37" t="inlineStr">
        <x:is>
          <x:t xml:space="preserve">Todo</x:t>
        </x:is>
      </x:c>
      <x:c r="N59" s="38" t="n"/>
      <x:c r="O59" s="38" t="n"/>
    </x:row>
    <x:row r="60" s="25" customFormat="1" ht="23.850000381469727" customHeight="1">
      <x:c r="A60" s="39" t="inlineStr">
        <x:is>
          <x:t xml:space="preserve">C054</x:t>
        </x:is>
      </x:c>
      <x:c r="B60" s="39" t="n">
        <x:v>2</x:v>
      </x:c>
      <x:c r="C60" s="40" t="n">
        <x:f>$B$4+8</x:f>
        <x:v>46329</x:v>
      </x:c>
      <x:c r="D60" s="39" t="inlineStr">
        <x:is>
          <x:t xml:space="preserve">Thứ 3</x:t>
        </x:is>
      </x:c>
      <x:c r="E60" s="41" t="inlineStr">
        <x:is>
          <x:t xml:space="preserve">Nguyễn Mai Hoàng Anh</x:t>
        </x:is>
      </x:c>
      <x:c r="F60" s="41" t="inlineStr">
        <x:is>
          <x:t xml:space="preserve">DevOps — CI/CD + hạ tầng monitoring</x:t>
        </x:is>
      </x:c>
      <x:c r="G60" s="39" t="inlineStr">
        <x:is>
          <x:t xml:space="preserve">TASK-004</x:t>
        </x:is>
      </x:c>
      <x:c r="H60" s="41" t="inlineStr">
        <x:is>
          <x:t xml:space="preserve">feat/task-004-cd-demo-host</x:t>
        </x:is>
      </x:c>
      <x:c r="I60" s="39" t="n">
        <x:v>4</x:v>
      </x:c>
      <x:c r="J60" s="41" t="inlineStr">
        <x:is>
          <x:t xml:space="preserve">ci: trigger deploy after successful release via workflow_run</x:t>
        </x:is>
      </x:c>
      <x:c r="K60" s="41" t="inlineStr">
        <x:is>
          <x:t xml:space="preserve">Release xong thì tự gọi deploy (có duyệt)</x:t>
        </x:is>
      </x:c>
      <x:c r="L60" s="41" t="n"/>
      <x:c r="M60" s="37" t="inlineStr">
        <x:is>
          <x:t xml:space="preserve">Todo</x:t>
        </x:is>
      </x:c>
      <x:c r="N60" s="38" t="n"/>
      <x:c r="O60" s="38" t="n"/>
    </x:row>
    <x:row r="61" s="25" customFormat="1" ht="23.850000381469727" customHeight="1">
      <x:c r="A61" s="39" t="inlineStr">
        <x:is>
          <x:t xml:space="preserve">C055</x:t>
        </x:is>
      </x:c>
      <x:c r="B61" s="39" t="n">
        <x:v>2</x:v>
      </x:c>
      <x:c r="C61" s="40" t="n">
        <x:f>$B$4+9</x:f>
        <x:v>46330</x:v>
      </x:c>
      <x:c r="D61" s="39" t="inlineStr">
        <x:is>
          <x:t xml:space="preserve">Thứ 4</x:t>
        </x:is>
      </x:c>
      <x:c r="E61" s="41" t="inlineStr">
        <x:is>
          <x:t xml:space="preserve">Nguyễn Mai Hoàng Anh</x:t>
        </x:is>
      </x:c>
      <x:c r="F61" s="41" t="inlineStr">
        <x:is>
          <x:t xml:space="preserve">DevOps — CI/CD + hạ tầng monitoring</x:t>
        </x:is>
      </x:c>
      <x:c r="G61" s="39" t="inlineStr">
        <x:is>
          <x:t xml:space="preserve">TASK-004</x:t>
        </x:is>
      </x:c>
      <x:c r="H61" s="41" t="inlineStr">
        <x:is>
          <x:t xml:space="preserve">feat/task-004-cd-demo-host</x:t>
        </x:is>
      </x:c>
      <x:c r="I61" s="39" t="n">
        <x:v>5</x:v>
      </x:c>
      <x:c r="J61" s="41" t="inlineStr">
        <x:is>
          <x:t xml:space="preserve">ci: upload deploy log and manifests as artifacts</x:t>
        </x:is>
      </x:c>
      <x:c r="K61" s="41" t="inlineStr">
        <x:is>
          <x:t xml:space="preserve">Lưu log deploy, current/previous manifest</x:t>
        </x:is>
      </x:c>
      <x:c r="L61" s="41" t="n"/>
      <x:c r="M61" s="37" t="inlineStr">
        <x:is>
          <x:t xml:space="preserve">Todo</x:t>
        </x:is>
      </x:c>
      <x:c r="N61" s="38" t="n"/>
      <x:c r="O61" s="38" t="n"/>
    </x:row>
    <x:row r="62" s="25" customFormat="1" ht="23.850000381469727" customHeight="1">
      <x:c r="A62" s="39" t="inlineStr">
        <x:is>
          <x:t xml:space="preserve">C056</x:t>
        </x:is>
      </x:c>
      <x:c r="B62" s="39" t="n">
        <x:v>2</x:v>
      </x:c>
      <x:c r="C62" s="40" t="n">
        <x:f>$B$4+9</x:f>
        <x:v>46330</x:v>
      </x:c>
      <x:c r="D62" s="39" t="inlineStr">
        <x:is>
          <x:t xml:space="preserve">Thứ 4</x:t>
        </x:is>
      </x:c>
      <x:c r="E62" s="41" t="inlineStr">
        <x:is>
          <x:t xml:space="preserve">Nguyễn Mai Hoàng Anh</x:t>
        </x:is>
      </x:c>
      <x:c r="F62" s="41" t="inlineStr">
        <x:is>
          <x:t xml:space="preserve">DevOps — CI/CD + hạ tầng monitoring</x:t>
        </x:is>
      </x:c>
      <x:c r="G62" s="39" t="inlineStr">
        <x:is>
          <x:t xml:space="preserve">TASK-004</x:t>
        </x:is>
      </x:c>
      <x:c r="H62" s="41" t="inlineStr">
        <x:is>
          <x:t xml:space="preserve">feat/task-004-cd-demo-host</x:t>
        </x:is>
      </x:c>
      <x:c r="I62" s="39" t="n">
        <x:v>6</x:v>
      </x:c>
      <x:c r="J62" s="41" t="inlineStr">
        <x:is>
          <x:t xml:space="preserve">ci: run rollback workflow on self-hosted runner</x:t>
        </x:is>
      </x:c>
      <x:c r="K62" s="41" t="inlineStr">
        <x:is>
          <x:t xml:space="preserve">Sửa rollback.yml chạy trên máy demo, dùng state dir cố định</x:t>
        </x:is>
      </x:c>
      <x:c r="L62" s="41" t="inlineStr">
        <x:is>
          <x:t xml:space="preserve">Việt Anh: state dir configurable (T1)</x:t>
        </x:is>
      </x:c>
      <x:c r="M62" s="37" t="inlineStr">
        <x:is>
          <x:t xml:space="preserve">Todo</x:t>
        </x:is>
      </x:c>
      <x:c r="N62" s="38" t="n"/>
      <x:c r="O62" s="38" t="n"/>
    </x:row>
    <x:row r="63" s="25" customFormat="1" ht="23.850000381469727" customHeight="1">
      <x:c r="A63" s="39" t="inlineStr">
        <x:is>
          <x:t xml:space="preserve">C057</x:t>
        </x:is>
      </x:c>
      <x:c r="B63" s="39" t="n">
        <x:v>2</x:v>
      </x:c>
      <x:c r="C63" s="40" t="n">
        <x:f>$B$4+10</x:f>
        <x:v>46331</x:v>
      </x:c>
      <x:c r="D63" s="39" t="inlineStr">
        <x:is>
          <x:t xml:space="preserve">Thứ 5</x:t>
        </x:is>
      </x:c>
      <x:c r="E63" s="41" t="inlineStr">
        <x:is>
          <x:t xml:space="preserve">Nguyễn Mai Hoàng Anh</x:t>
        </x:is>
      </x:c>
      <x:c r="F63" s="41" t="inlineStr">
        <x:is>
          <x:t xml:space="preserve">DevOps — CI/CD + hạ tầng monitoring</x:t>
        </x:is>
      </x:c>
      <x:c r="G63" s="39" t="inlineStr">
        <x:is>
          <x:t xml:space="preserve">TASK-004</x:t>
        </x:is>
      </x:c>
      <x:c r="H63" s="41" t="inlineStr">
        <x:is>
          <x:t xml:space="preserve">feat/task-004-cd-demo-host</x:t>
        </x:is>
      </x:c>
      <x:c r="I63" s="39" t="n">
        <x:v>7</x:v>
      </x:c>
      <x:c r="J63" s="41" t="inlineStr">
        <x:is>
          <x:t xml:space="preserve">ci: add deploy-demo concurrency to deploy and rollback</x:t>
        </x:is>
      </x:c>
      <x:c r="K63" s="41" t="inlineStr">
        <x:is>
          <x:t xml:space="preserve">Deploy và rollback không bao giờ chạy song song</x:t>
        </x:is>
      </x:c>
      <x:c r="L63" s="41" t="n"/>
      <x:c r="M63" s="37" t="inlineStr">
        <x:is>
          <x:t xml:space="preserve">Todo</x:t>
        </x:is>
      </x:c>
      <x:c r="N63" s="38" t="n"/>
      <x:c r="O63" s="38" t="n"/>
    </x:row>
    <x:row r="64" s="25" customFormat="1" ht="23.850000381469727" customHeight="1">
      <x:c r="A64" s="39" t="inlineStr">
        <x:is>
          <x:t xml:space="preserve">C058</x:t>
        </x:is>
      </x:c>
      <x:c r="B64" s="39" t="n">
        <x:v>2</x:v>
      </x:c>
      <x:c r="C64" s="40" t="n">
        <x:f>$B$4+10</x:f>
        <x:v>46331</x:v>
      </x:c>
      <x:c r="D64" s="39" t="inlineStr">
        <x:is>
          <x:t xml:space="preserve">Thứ 5</x:t>
        </x:is>
      </x:c>
      <x:c r="E64" s="41" t="inlineStr">
        <x:is>
          <x:t xml:space="preserve">Nguyễn Mai Hoàng Anh</x:t>
        </x:is>
      </x:c>
      <x:c r="F64" s="41" t="inlineStr">
        <x:is>
          <x:t xml:space="preserve">DevOps — CI/CD + hạ tầng monitoring</x:t>
        </x:is>
      </x:c>
      <x:c r="G64" s="39" t="inlineStr">
        <x:is>
          <x:t xml:space="preserve">TASK-004</x:t>
        </x:is>
      </x:c>
      <x:c r="H64" s="41" t="inlineStr">
        <x:is>
          <x:t xml:space="preserve">feat/task-004-cd-demo-host</x:t>
        </x:is>
      </x:c>
      <x:c r="I64" s="39" t="n">
        <x:v>8</x:v>
      </x:c>
      <x:c r="J64" s="41" t="inlineStr">
        <x:is>
          <x:t xml:space="preserve">ci: require approval via GitHub environment demo</x:t>
        </x:is>
      </x:c>
      <x:c r="K64" s="41" t="inlineStr">
        <x:is>
          <x:t xml:space="preserve">Environment demo có reviewer</x:t>
        </x:is>
      </x:c>
      <x:c r="L64" s="41" t="n"/>
      <x:c r="M64" s="37" t="inlineStr">
        <x:is>
          <x:t xml:space="preserve">Todo</x:t>
        </x:is>
      </x:c>
      <x:c r="N64" s="38" t="n"/>
      <x:c r="O64" s="38" t="n"/>
    </x:row>
    <x:row r="65" s="25" customFormat="1" ht="23.850000381469727" customHeight="1">
      <x:c r="A65" s="39" t="inlineStr">
        <x:is>
          <x:t xml:space="preserve">C059</x:t>
        </x:is>
      </x:c>
      <x:c r="B65" s="39" t="n">
        <x:v>2</x:v>
      </x:c>
      <x:c r="C65" s="40" t="n">
        <x:f>$B$4+11</x:f>
        <x:v>46332</x:v>
      </x:c>
      <x:c r="D65" s="39" t="inlineStr">
        <x:is>
          <x:t xml:space="preserve">Thứ 6</x:t>
        </x:is>
      </x:c>
      <x:c r="E65" s="41" t="inlineStr">
        <x:is>
          <x:t xml:space="preserve">Nguyễn Mai Hoàng Anh</x:t>
        </x:is>
      </x:c>
      <x:c r="F65" s="41" t="inlineStr">
        <x:is>
          <x:t xml:space="preserve">DevOps — CI/CD + hạ tầng monitoring</x:t>
        </x:is>
      </x:c>
      <x:c r="G65" s="39" t="inlineStr">
        <x:is>
          <x:t xml:space="preserve">TASK-004</x:t>
        </x:is>
      </x:c>
      <x:c r="H65" s="41" t="inlineStr">
        <x:is>
          <x:t xml:space="preserve">feat/task-004-cd-demo-host</x:t>
        </x:is>
      </x:c>
      <x:c r="I65" s="39" t="n">
        <x:v>9</x:v>
      </x:c>
      <x:c r="J65" s="41" t="inlineStr">
        <x:is>
          <x:t xml:space="preserve">deploy: add web service and expose single port in production compose</x:t>
        </x:is>
      </x:c>
      <x:c r="K65" s="41" t="inlineStr">
        <x:is>
          <x:t xml:space="preserve">Chỉ mở port của Nginx, backend vào mạng nội bộ</x:t>
        </x:is>
      </x:c>
      <x:c r="L65" s="41" t="inlineStr">
        <x:is>
          <x:t xml:space="preserve">Cường: Dockerfile frontend (T2)</x:t>
        </x:is>
      </x:c>
      <x:c r="M65" s="37" t="inlineStr">
        <x:is>
          <x:t xml:space="preserve">Todo</x:t>
        </x:is>
      </x:c>
      <x:c r="N65" s="38" t="n"/>
      <x:c r="O65" s="38" t="n"/>
    </x:row>
    <x:row r="66" s="25" customFormat="1" ht="23.850000381469727" customHeight="1">
      <x:c r="A66" s="39" t="inlineStr">
        <x:is>
          <x:t xml:space="preserve">C060</x:t>
        </x:is>
      </x:c>
      <x:c r="B66" s="39" t="n">
        <x:v>2</x:v>
      </x:c>
      <x:c r="C66" s="40" t="n">
        <x:f>$B$4+11</x:f>
        <x:v>46332</x:v>
      </x:c>
      <x:c r="D66" s="39" t="inlineStr">
        <x:is>
          <x:t xml:space="preserve">Thứ 6</x:t>
        </x:is>
      </x:c>
      <x:c r="E66" s="41" t="inlineStr">
        <x:is>
          <x:t xml:space="preserve">Nguyễn Mai Hoàng Anh</x:t>
        </x:is>
      </x:c>
      <x:c r="F66" s="41" t="inlineStr">
        <x:is>
          <x:t xml:space="preserve">DevOps — CI/CD + hạ tầng monitoring</x:t>
        </x:is>
      </x:c>
      <x:c r="G66" s="39" t="inlineStr">
        <x:is>
          <x:t xml:space="preserve">TASK-004</x:t>
        </x:is>
      </x:c>
      <x:c r="H66" s="41" t="inlineStr">
        <x:is>
          <x:t xml:space="preserve">feat/task-004-cd-demo-host</x:t>
        </x:is>
      </x:c>
      <x:c r="I66" s="39" t="n">
        <x:v>10</x:v>
      </x:c>
      <x:c r="J66" s="41" t="inlineStr">
        <x:is>
          <x:t xml:space="preserve">docs(evidence): record first pipeline deploy to demo host (E08)</x:t>
        </x:is>
      </x:c>
      <x:c r="K66" s="41" t="inlineStr">
        <x:is>
          <x:t xml:space="preserve">So khớp /api/version với manifest trên máy demo</x:t>
        </x:is>
      </x:c>
      <x:c r="L66" s="41" t="n"/>
      <x:c r="M66" s="37" t="inlineStr">
        <x:is>
          <x:t xml:space="preserve">Todo</x:t>
        </x:is>
      </x:c>
      <x:c r="N66" s="38" t="n"/>
      <x:c r="O66" s="38" t="n"/>
    </x:row>
    <x:row r="67" s="25" customFormat="1" ht="15" customHeight="1">
      <x:c r="A67" s="39" t="inlineStr">
        <x:is>
          <x:t xml:space="preserve">C061</x:t>
        </x:is>
      </x:c>
      <x:c r="B67" s="39" t="n">
        <x:v>2</x:v>
      </x:c>
      <x:c r="C67" s="40" t="n">
        <x:f>$B$4+7</x:f>
        <x:v>46328</x:v>
      </x:c>
      <x:c r="D67" s="39" t="inlineStr">
        <x:is>
          <x:t xml:space="preserve">Thứ 2</x:t>
        </x:is>
      </x:c>
      <x:c r="E67" s="41" t="inlineStr">
        <x:is>
          <x:t xml:space="preserve">Phạm Minh Cương</x:t>
        </x:is>
      </x:c>
      <x:c r="F67" s="41" t="inlineStr">
        <x:is>
          <x:t xml:space="preserve">Backend + kiến trúc</x:t>
        </x:is>
      </x:c>
      <x:c r="G67" s="39" t="inlineStr">
        <x:is>
          <x:t xml:space="preserve">TASK-006</x:t>
        </x:is>
      </x:c>
      <x:c r="H67" s="41" t="inlineStr">
        <x:is>
          <x:t xml:space="preserve">feat/task-006-structured-logging</x:t>
        </x:is>
      </x:c>
      <x:c r="I67" s="39" t="n">
        <x:v>1</x:v>
      </x:c>
      <x:c r="J67" s="41" t="inlineStr">
        <x:is>
          <x:t xml:space="preserve">feat(logging): add JSON log formatter to stdout</x:t>
        </x:is>
      </x:c>
      <x:c r="K67" s="41" t="inlineStr">
        <x:is>
          <x:t xml:space="preserve">Log JSON thay cho text</x:t>
        </x:is>
      </x:c>
      <x:c r="L67" s="41" t="n"/>
      <x:c r="M67" s="37" t="inlineStr">
        <x:is>
          <x:t xml:space="preserve">Todo</x:t>
        </x:is>
      </x:c>
      <x:c r="N67" s="38" t="n"/>
      <x:c r="O67" s="38" t="n"/>
    </x:row>
    <x:row r="68" s="25" customFormat="1" ht="15" customHeight="1">
      <x:c r="A68" s="39" t="inlineStr">
        <x:is>
          <x:t xml:space="preserve">C062</x:t>
        </x:is>
      </x:c>
      <x:c r="B68" s="39" t="n">
        <x:v>2</x:v>
      </x:c>
      <x:c r="C68" s="40" t="n">
        <x:f>$B$4+7</x:f>
        <x:v>46328</x:v>
      </x:c>
      <x:c r="D68" s="39" t="inlineStr">
        <x:is>
          <x:t xml:space="preserve">Thứ 2</x:t>
        </x:is>
      </x:c>
      <x:c r="E68" s="41" t="inlineStr">
        <x:is>
          <x:t xml:space="preserve">Phạm Minh Cương</x:t>
        </x:is>
      </x:c>
      <x:c r="F68" s="41" t="inlineStr">
        <x:is>
          <x:t xml:space="preserve">Backend + kiến trúc</x:t>
        </x:is>
      </x:c>
      <x:c r="G68" s="39" t="inlineStr">
        <x:is>
          <x:t xml:space="preserve">TASK-006</x:t>
        </x:is>
      </x:c>
      <x:c r="H68" s="41" t="inlineStr">
        <x:is>
          <x:t xml:space="preserve">feat/task-006-structured-logging</x:t>
        </x:is>
      </x:c>
      <x:c r="I68" s="39" t="n">
        <x:v>2</x:v>
      </x:c>
      <x:c r="J68" s="41" t="inlineStr">
        <x:is>
          <x:t xml:space="preserve">feat(logging): add request logging middleware</x:t>
        </x:is>
      </x:c>
      <x:c r="K68" s="41" t="inlineStr">
        <x:is>
          <x:t xml:space="preserve">method, route template, status, duration</x:t>
        </x:is>
      </x:c>
      <x:c r="L68" s="41" t="n"/>
      <x:c r="M68" s="37" t="inlineStr">
        <x:is>
          <x:t xml:space="preserve">Todo</x:t>
        </x:is>
      </x:c>
      <x:c r="N68" s="38" t="n"/>
      <x:c r="O68" s="38" t="n"/>
    </x:row>
    <x:row r="69" s="25" customFormat="1" ht="15" customHeight="1">
      <x:c r="A69" s="39" t="inlineStr">
        <x:is>
          <x:t xml:space="preserve">C063</x:t>
        </x:is>
      </x:c>
      <x:c r="B69" s="39" t="n">
        <x:v>2</x:v>
      </x:c>
      <x:c r="C69" s="40" t="n">
        <x:f>$B$4+8</x:f>
        <x:v>46329</x:v>
      </x:c>
      <x:c r="D69" s="39" t="inlineStr">
        <x:is>
          <x:t xml:space="preserve">Thứ 3</x:t>
        </x:is>
      </x:c>
      <x:c r="E69" s="41" t="inlineStr">
        <x:is>
          <x:t xml:space="preserve">Phạm Minh Cương</x:t>
        </x:is>
      </x:c>
      <x:c r="F69" s="41" t="inlineStr">
        <x:is>
          <x:t xml:space="preserve">Backend + kiến trúc</x:t>
        </x:is>
      </x:c>
      <x:c r="G69" s="39" t="inlineStr">
        <x:is>
          <x:t xml:space="preserve">TASK-006</x:t>
        </x:is>
      </x:c>
      <x:c r="H69" s="41" t="inlineStr">
        <x:is>
          <x:t xml:space="preserve">feat/task-006-structured-logging</x:t>
        </x:is>
      </x:c>
      <x:c r="I69" s="39" t="n">
        <x:v>3</x:v>
      </x:c>
      <x:c r="J69" s="41" t="inlineStr">
        <x:is>
          <x:t xml:space="preserve">test(logging): ensure logs exclude request body and names</x:t>
        </x:is>
      </x:c>
      <x:c r="K69" s="41" t="inlineStr">
        <x:is>
          <x:t xml:space="preserve">Không lộ dữ liệu khách</x:t>
        </x:is>
      </x:c>
      <x:c r="L69" s="41" t="n"/>
      <x:c r="M69" s="37" t="inlineStr">
        <x:is>
          <x:t xml:space="preserve">Todo</x:t>
        </x:is>
      </x:c>
      <x:c r="N69" s="38" t="n"/>
      <x:c r="O69" s="38" t="n"/>
    </x:row>
    <x:row r="70" s="25" customFormat="1" ht="15" customHeight="1">
      <x:c r="A70" s="39" t="inlineStr">
        <x:is>
          <x:t xml:space="preserve">C064</x:t>
        </x:is>
      </x:c>
      <x:c r="B70" s="39" t="n">
        <x:v>2</x:v>
      </x:c>
      <x:c r="C70" s="40" t="n">
        <x:f>$B$4+8</x:f>
        <x:v>46329</x:v>
      </x:c>
      <x:c r="D70" s="39" t="inlineStr">
        <x:is>
          <x:t xml:space="preserve">Thứ 3</x:t>
        </x:is>
      </x:c>
      <x:c r="E70" s="41" t="inlineStr">
        <x:is>
          <x:t xml:space="preserve">Phạm Minh Cương</x:t>
        </x:is>
      </x:c>
      <x:c r="F70" s="41" t="inlineStr">
        <x:is>
          <x:t xml:space="preserve">Backend + kiến trúc</x:t>
        </x:is>
      </x:c>
      <x:c r="G70" s="39" t="inlineStr">
        <x:is>
          <x:t xml:space="preserve">TASK-006</x:t>
        </x:is>
      </x:c>
      <x:c r="H70" s="41" t="inlineStr">
        <x:is>
          <x:t xml:space="preserve">feat/task-006-structured-logging</x:t>
        </x:is>
      </x:c>
      <x:c r="I70" s="39" t="n">
        <x:v>4</x:v>
      </x:c>
      <x:c r="J70" s="41" t="inlineStr">
        <x:is>
          <x:t xml:space="preserve">feat(version): include environment and fault flag in /api/version</x:t>
        </x:is>
      </x:c>
      <x:c r="K70" s="41" t="inlineStr">
        <x:is>
          <x:t xml:space="preserve">Thấy ngay đang chạy release drill</x:t>
        </x:is>
      </x:c>
      <x:c r="L70" s="41" t="n"/>
      <x:c r="M70" s="37" t="inlineStr">
        <x:is>
          <x:t xml:space="preserve">Todo</x:t>
        </x:is>
      </x:c>
      <x:c r="N70" s="38" t="n"/>
      <x:c r="O70" s="38" t="n"/>
    </x:row>
    <x:row r="71" s="25" customFormat="1" ht="15" customHeight="1">
      <x:c r="A71" s="39" t="inlineStr">
        <x:is>
          <x:t xml:space="preserve">C065</x:t>
        </x:is>
      </x:c>
      <x:c r="B71" s="39" t="n">
        <x:v>2</x:v>
      </x:c>
      <x:c r="C71" s="40" t="n">
        <x:f>$B$4+9</x:f>
        <x:v>46330</x:v>
      </x:c>
      <x:c r="D71" s="39" t="inlineStr">
        <x:is>
          <x:t xml:space="preserve">Thứ 4</x:t>
        </x:is>
      </x:c>
      <x:c r="E71" s="41" t="inlineStr">
        <x:is>
          <x:t xml:space="preserve">Phạm Minh Cương</x:t>
        </x:is>
      </x:c>
      <x:c r="F71" s="41" t="inlineStr">
        <x:is>
          <x:t xml:space="preserve">Backend + kiến trúc</x:t>
        </x:is>
      </x:c>
      <x:c r="G71" s="39" t="inlineStr">
        <x:is>
          <x:t xml:space="preserve">TASK-006</x:t>
        </x:is>
      </x:c>
      <x:c r="H71" s="41" t="inlineStr">
        <x:is>
          <x:t xml:space="preserve">feat/task-006-structured-logging</x:t>
        </x:is>
      </x:c>
      <x:c r="I71" s="39" t="n">
        <x:v>5</x:v>
      </x:c>
      <x:c r="J71" s="41" t="inlineStr">
        <x:is>
          <x:t xml:space="preserve">refactor(api): use route templates consistently</x:t>
        </x:is>
      </x:c>
      <x:c r="K71" s="41" t="inlineStr">
        <x:is>
          <x:t xml:space="preserve">Chuẩn bị label metric ít cardinality</x:t>
        </x:is>
      </x:c>
      <x:c r="L71" s="41" t="n"/>
      <x:c r="M71" s="37" t="inlineStr">
        <x:is>
          <x:t xml:space="preserve">Todo</x:t>
        </x:is>
      </x:c>
      <x:c r="N71" s="38" t="n"/>
      <x:c r="O71" s="38" t="n"/>
    </x:row>
    <x:row r="72" s="25" customFormat="1" ht="15" customHeight="1">
      <x:c r="A72" s="39" t="inlineStr">
        <x:is>
          <x:t xml:space="preserve">C066</x:t>
        </x:is>
      </x:c>
      <x:c r="B72" s="39" t="n">
        <x:v>2</x:v>
      </x:c>
      <x:c r="C72" s="40" t="n">
        <x:f>$B$4+9</x:f>
        <x:v>46330</x:v>
      </x:c>
      <x:c r="D72" s="39" t="inlineStr">
        <x:is>
          <x:t xml:space="preserve">Thứ 4</x:t>
        </x:is>
      </x:c>
      <x:c r="E72" s="41" t="inlineStr">
        <x:is>
          <x:t xml:space="preserve">Phạm Minh Cương</x:t>
        </x:is>
      </x:c>
      <x:c r="F72" s="41" t="inlineStr">
        <x:is>
          <x:t xml:space="preserve">Backend + kiến trúc</x:t>
        </x:is>
      </x:c>
      <x:c r="G72" s="39" t="inlineStr">
        <x:is>
          <x:t xml:space="preserve">TASK-006</x:t>
        </x:is>
      </x:c>
      <x:c r="H72" s="41" t="inlineStr">
        <x:is>
          <x:t xml:space="preserve">feat/task-006-structured-logging</x:t>
        </x:is>
      </x:c>
      <x:c r="I72" s="39" t="n">
        <x:v>6</x:v>
      </x:c>
      <x:c r="J72" s="41" t="inlineStr">
        <x:is>
          <x:t xml:space="preserve">feat(health): add DB check latency to readiness response</x:t>
        </x:is>
      </x:c>
      <x:c r="K72" s="41" t="inlineStr">
        <x:is>
          <x:t xml:space="preserve">Readiness trả thời gian kiểm tra DB</x:t>
        </x:is>
      </x:c>
      <x:c r="L72" s="41" t="n"/>
      <x:c r="M72" s="37" t="inlineStr">
        <x:is>
          <x:t xml:space="preserve">Todo</x:t>
        </x:is>
      </x:c>
      <x:c r="N72" s="38" t="n"/>
      <x:c r="O72" s="38" t="n"/>
    </x:row>
    <x:row r="73" s="25" customFormat="1" ht="15" customHeight="1">
      <x:c r="A73" s="39" t="inlineStr">
        <x:is>
          <x:t xml:space="preserve">C067</x:t>
        </x:is>
      </x:c>
      <x:c r="B73" s="39" t="n">
        <x:v>2</x:v>
      </x:c>
      <x:c r="C73" s="40" t="n">
        <x:f>$B$4+10</x:f>
        <x:v>46331</x:v>
      </x:c>
      <x:c r="D73" s="39" t="inlineStr">
        <x:is>
          <x:t xml:space="preserve">Thứ 5</x:t>
        </x:is>
      </x:c>
      <x:c r="E73" s="41" t="inlineStr">
        <x:is>
          <x:t xml:space="preserve">Phạm Minh Cương</x:t>
        </x:is>
      </x:c>
      <x:c r="F73" s="41" t="inlineStr">
        <x:is>
          <x:t xml:space="preserve">Backend + kiến trúc</x:t>
        </x:is>
      </x:c>
      <x:c r="G73" s="39" t="inlineStr">
        <x:is>
          <x:t xml:space="preserve">TASK-006</x:t>
        </x:is>
      </x:c>
      <x:c r="H73" s="41" t="inlineStr">
        <x:is>
          <x:t xml:space="preserve">feat/task-006-structured-logging</x:t>
        </x:is>
      </x:c>
      <x:c r="I73" s="39" t="n">
        <x:v>7</x:v>
      </x:c>
      <x:c r="J73" s="41" t="inlineStr">
        <x:is>
          <x:t xml:space="preserve">test(health): cover readiness timeout path</x:t>
        </x:is>
      </x:c>
      <x:c r="K73" s="41" t="inlineStr">
        <x:is>
          <x:t xml:space="preserve">DB chậm → 503 trong thời gian hữu hạn</x:t>
        </x:is>
      </x:c>
      <x:c r="L73" s="41" t="n"/>
      <x:c r="M73" s="37" t="inlineStr">
        <x:is>
          <x:t xml:space="preserve">Todo</x:t>
        </x:is>
      </x:c>
      <x:c r="N73" s="38" t="n"/>
      <x:c r="O73" s="38" t="n"/>
    </x:row>
    <x:row r="74" s="25" customFormat="1" ht="15" customHeight="1">
      <x:c r="A74" s="39" t="inlineStr">
        <x:is>
          <x:t xml:space="preserve">C068</x:t>
        </x:is>
      </x:c>
      <x:c r="B74" s="39" t="n">
        <x:v>2</x:v>
      </x:c>
      <x:c r="C74" s="40" t="n">
        <x:f>$B$4+10</x:f>
        <x:v>46331</x:v>
      </x:c>
      <x:c r="D74" s="39" t="inlineStr">
        <x:is>
          <x:t xml:space="preserve">Thứ 5</x:t>
        </x:is>
      </x:c>
      <x:c r="E74" s="41" t="inlineStr">
        <x:is>
          <x:t xml:space="preserve">Phạm Minh Cương</x:t>
        </x:is>
      </x:c>
      <x:c r="F74" s="41" t="inlineStr">
        <x:is>
          <x:t xml:space="preserve">Backend + kiến trúc</x:t>
        </x:is>
      </x:c>
      <x:c r="G74" s="39" t="inlineStr">
        <x:is>
          <x:t xml:space="preserve">TASK-006</x:t>
        </x:is>
      </x:c>
      <x:c r="H74" s="41" t="inlineStr">
        <x:is>
          <x:t xml:space="preserve">feat/task-006-structured-logging</x:t>
        </x:is>
      </x:c>
      <x:c r="I74" s="39" t="n">
        <x:v>8</x:v>
      </x:c>
      <x:c r="J74" s="41" t="inlineStr">
        <x:is>
          <x:t xml:space="preserve">test(api): cover pagination edge cases</x:t>
        </x:is>
      </x:c>
      <x:c r="K74" s="41" t="inlineStr">
        <x:is>
          <x:t xml:space="preserve">limit/offset biên</x:t>
        </x:is>
      </x:c>
      <x:c r="L74" s="41" t="n"/>
      <x:c r="M74" s="37" t="inlineStr">
        <x:is>
          <x:t xml:space="preserve">Todo</x:t>
        </x:is>
      </x:c>
      <x:c r="N74" s="38" t="n"/>
      <x:c r="O74" s="38" t="n"/>
    </x:row>
    <x:row r="75" s="25" customFormat="1" ht="23.850000381469727" customHeight="1">
      <x:c r="A75" s="39" t="inlineStr">
        <x:is>
          <x:t xml:space="preserve">C069</x:t>
        </x:is>
      </x:c>
      <x:c r="B75" s="39" t="n">
        <x:v>2</x:v>
      </x:c>
      <x:c r="C75" s="40" t="n">
        <x:f>$B$4+11</x:f>
        <x:v>46332</x:v>
      </x:c>
      <x:c r="D75" s="39" t="inlineStr">
        <x:is>
          <x:t xml:space="preserve">Thứ 6</x:t>
        </x:is>
      </x:c>
      <x:c r="E75" s="41" t="inlineStr">
        <x:is>
          <x:t xml:space="preserve">Phạm Minh Cương</x:t>
        </x:is>
      </x:c>
      <x:c r="F75" s="41" t="inlineStr">
        <x:is>
          <x:t xml:space="preserve">Backend + kiến trúc</x:t>
        </x:is>
      </x:c>
      <x:c r="G75" s="39" t="inlineStr">
        <x:is>
          <x:t xml:space="preserve">TASK-006</x:t>
        </x:is>
      </x:c>
      <x:c r="H75" s="41" t="inlineStr">
        <x:is>
          <x:t xml:space="preserve">feat/task-006-structured-logging</x:t>
        </x:is>
      </x:c>
      <x:c r="I75" s="39" t="n">
        <x:v>9</x:v>
      </x:c>
      <x:c r="J75" s="41" t="inlineStr">
        <x:is>
          <x:t xml:space="preserve">refactor(service): split booking service steps for span boundaries</x:t>
        </x:is>
      </x:c>
      <x:c r="K75" s="41" t="inlineStr">
        <x:is>
          <x:t xml:space="preserve">Tách bước để gắn span rõ ràng</x:t>
        </x:is>
      </x:c>
      <x:c r="L75" s="41" t="n"/>
      <x:c r="M75" s="37" t="inlineStr">
        <x:is>
          <x:t xml:space="preserve">Todo</x:t>
        </x:is>
      </x:c>
      <x:c r="N75" s="38" t="n"/>
      <x:c r="O75" s="38" t="n"/>
    </x:row>
    <x:row r="76" s="25" customFormat="1" ht="23.850000381469727" customHeight="1">
      <x:c r="A76" s="39" t="inlineStr">
        <x:is>
          <x:t xml:space="preserve">C070</x:t>
        </x:is>
      </x:c>
      <x:c r="B76" s="39" t="n">
        <x:v>2</x:v>
      </x:c>
      <x:c r="C76" s="40" t="n">
        <x:f>$B$4+11</x:f>
        <x:v>46332</x:v>
      </x:c>
      <x:c r="D76" s="39" t="inlineStr">
        <x:is>
          <x:t xml:space="preserve">Thứ 6</x:t>
        </x:is>
      </x:c>
      <x:c r="E76" s="41" t="inlineStr">
        <x:is>
          <x:t xml:space="preserve">Phạm Minh Cương</x:t>
        </x:is>
      </x:c>
      <x:c r="F76" s="41" t="inlineStr">
        <x:is>
          <x:t xml:space="preserve">Backend + kiến trúc</x:t>
        </x:is>
      </x:c>
      <x:c r="G76" s="39" t="inlineStr">
        <x:is>
          <x:t xml:space="preserve">TASK-006</x:t>
        </x:is>
      </x:c>
      <x:c r="H76" s="41" t="inlineStr">
        <x:is>
          <x:t xml:space="preserve">feat/task-006-structured-logging</x:t>
        </x:is>
      </x:c>
      <x:c r="I76" s="39" t="n">
        <x:v>10</x:v>
      </x:c>
      <x:c r="J76" s="41" t="inlineStr">
        <x:is>
          <x:t xml:space="preserve">docs(architecture): update module view for telemetry and fault modules</x:t>
        </x:is>
      </x:c>
      <x:c r="K76" s="41" t="inlineStr">
        <x:is>
          <x:t xml:space="preserve">Cập nhật module-view.md</x:t>
        </x:is>
      </x:c>
      <x:c r="L76" s="41" t="n"/>
      <x:c r="M76" s="37" t="inlineStr">
        <x:is>
          <x:t xml:space="preserve">Todo</x:t>
        </x:is>
      </x:c>
      <x:c r="N76" s="38" t="n"/>
      <x:c r="O76" s="38" t="n"/>
    </x:row>
    <x:row r="77" s="25" customFormat="1" ht="15" customHeight="1">
      <x:c r="A77" s="39" t="inlineStr">
        <x:is>
          <x:t xml:space="preserve">C071</x:t>
        </x:is>
      </x:c>
      <x:c r="B77" s="39" t="n">
        <x:v>2</x:v>
      </x:c>
      <x:c r="C77" s="40" t="n">
        <x:f>$B$4+7</x:f>
        <x:v>46328</x:v>
      </x:c>
      <x:c r="D77" s="39" t="inlineStr">
        <x:is>
          <x:t xml:space="preserve">Thứ 2</x:t>
        </x:is>
      </x:c>
      <x:c r="E77" s="41" t="inlineStr">
        <x:is>
          <x:t xml:space="preserve">Lê Văn Cường</x:t>
        </x:is>
      </x:c>
      <x:c r="F77" s="41" t="inlineStr">
        <x:is>
          <x:t xml:space="preserve">Frontend + E2E</x:t>
        </x:is>
      </x:c>
      <x:c r="G77" s="39" t="inlineStr">
        <x:is>
          <x:t xml:space="preserve">TASK-003</x:t>
        </x:is>
      </x:c>
      <x:c r="H77" s="41" t="inlineStr">
        <x:is>
          <x:t xml:space="preserve">feat/task-003-booking-flow</x:t>
        </x:is>
      </x:c>
      <x:c r="I77" s="39" t="n">
        <x:v>1</x:v>
      </x:c>
      <x:c r="J77" s="41" t="inlineStr">
        <x:is>
          <x:t xml:space="preserve">feat(frontend): add booking form for selected slot</x:t>
        </x:is>
      </x:c>
      <x:c r="K77" s="41" t="inlineStr">
        <x:is>
          <x:t xml:space="preserve">POST /api/appointments</x:t>
        </x:is>
      </x:c>
      <x:c r="L77" s="41" t="n"/>
      <x:c r="M77" s="37" t="inlineStr">
        <x:is>
          <x:t xml:space="preserve">Todo</x:t>
        </x:is>
      </x:c>
      <x:c r="N77" s="38" t="n"/>
      <x:c r="O77" s="38" t="n"/>
    </x:row>
    <x:row r="78" s="25" customFormat="1" ht="15" customHeight="1">
      <x:c r="A78" s="39" t="inlineStr">
        <x:is>
          <x:t xml:space="preserve">C072</x:t>
        </x:is>
      </x:c>
      <x:c r="B78" s="39" t="n">
        <x:v>2</x:v>
      </x:c>
      <x:c r="C78" s="40" t="n">
        <x:f>$B$4+7</x:f>
        <x:v>46328</x:v>
      </x:c>
      <x:c r="D78" s="39" t="inlineStr">
        <x:is>
          <x:t xml:space="preserve">Thứ 2</x:t>
        </x:is>
      </x:c>
      <x:c r="E78" s="41" t="inlineStr">
        <x:is>
          <x:t xml:space="preserve">Lê Văn Cường</x:t>
        </x:is>
      </x:c>
      <x:c r="F78" s="41" t="inlineStr">
        <x:is>
          <x:t xml:space="preserve">Frontend + E2E</x:t>
        </x:is>
      </x:c>
      <x:c r="G78" s="39" t="inlineStr">
        <x:is>
          <x:t xml:space="preserve">TASK-003</x:t>
        </x:is>
      </x:c>
      <x:c r="H78" s="41" t="inlineStr">
        <x:is>
          <x:t xml:space="preserve">feat/task-003-booking-flow</x:t>
        </x:is>
      </x:c>
      <x:c r="I78" s="39" t="n">
        <x:v>2</x:v>
      </x:c>
      <x:c r="J78" s="41" t="inlineStr">
        <x:is>
          <x:t xml:space="preserve">feat(frontend): show conflict message on 409</x:t>
        </x:is>
      </x:c>
      <x:c r="K78" s="41" t="inlineStr">
        <x:is>
          <x:t xml:space="preserve">Không báo thành công khi 409</x:t>
        </x:is>
      </x:c>
      <x:c r="L78" s="41" t="n"/>
      <x:c r="M78" s="37" t="inlineStr">
        <x:is>
          <x:t xml:space="preserve">Todo</x:t>
        </x:is>
      </x:c>
      <x:c r="N78" s="38" t="n"/>
      <x:c r="O78" s="38" t="n"/>
    </x:row>
    <x:row r="79" s="25" customFormat="1" ht="15" customHeight="1">
      <x:c r="A79" s="39" t="inlineStr">
        <x:is>
          <x:t xml:space="preserve">C073</x:t>
        </x:is>
      </x:c>
      <x:c r="B79" s="39" t="n">
        <x:v>2</x:v>
      </x:c>
      <x:c r="C79" s="40" t="n">
        <x:f>$B$4+8</x:f>
        <x:v>46329</x:v>
      </x:c>
      <x:c r="D79" s="39" t="inlineStr">
        <x:is>
          <x:t xml:space="preserve">Thứ 3</x:t>
        </x:is>
      </x:c>
      <x:c r="E79" s="41" t="inlineStr">
        <x:is>
          <x:t xml:space="preserve">Lê Văn Cường</x:t>
        </x:is>
      </x:c>
      <x:c r="F79" s="41" t="inlineStr">
        <x:is>
          <x:t xml:space="preserve">Frontend + E2E</x:t>
        </x:is>
      </x:c>
      <x:c r="G79" s="39" t="inlineStr">
        <x:is>
          <x:t xml:space="preserve">TASK-003</x:t>
        </x:is>
      </x:c>
      <x:c r="H79" s="41" t="inlineStr">
        <x:is>
          <x:t xml:space="preserve">feat/task-003-booking-flow</x:t>
        </x:is>
      </x:c>
      <x:c r="I79" s="39" t="n">
        <x:v>3</x:v>
      </x:c>
      <x:c r="J79" s="41" t="inlineStr">
        <x:is>
          <x:t xml:space="preserve">test(frontend): cover booking success and conflict</x:t>
        </x:is>
      </x:c>
      <x:c r="K79" s="41" t="n"/>
      <x:c r="L79" s="41" t="n"/>
      <x:c r="M79" s="37" t="inlineStr">
        <x:is>
          <x:t xml:space="preserve">Todo</x:t>
        </x:is>
      </x:c>
      <x:c r="N79" s="38" t="n"/>
      <x:c r="O79" s="38" t="n"/>
    </x:row>
    <x:row r="80" s="25" customFormat="1" ht="15" customHeight="1">
      <x:c r="A80" s="39" t="inlineStr">
        <x:is>
          <x:t xml:space="preserve">C074</x:t>
        </x:is>
      </x:c>
      <x:c r="B80" s="39" t="n">
        <x:v>2</x:v>
      </x:c>
      <x:c r="C80" s="40" t="n">
        <x:f>$B$4+8</x:f>
        <x:v>46329</x:v>
      </x:c>
      <x:c r="D80" s="39" t="inlineStr">
        <x:is>
          <x:t xml:space="preserve">Thứ 3</x:t>
        </x:is>
      </x:c>
      <x:c r="E80" s="41" t="inlineStr">
        <x:is>
          <x:t xml:space="preserve">Lê Văn Cường</x:t>
        </x:is>
      </x:c>
      <x:c r="F80" s="41" t="inlineStr">
        <x:is>
          <x:t xml:space="preserve">Frontend + E2E</x:t>
        </x:is>
      </x:c>
      <x:c r="G80" s="39" t="inlineStr">
        <x:is>
          <x:t xml:space="preserve">TASK-003</x:t>
        </x:is>
      </x:c>
      <x:c r="H80" s="41" t="inlineStr">
        <x:is>
          <x:t xml:space="preserve">feat/task-003-booking-flow</x:t>
        </x:is>
      </x:c>
      <x:c r="I80" s="39" t="n">
        <x:v>4</x:v>
      </x:c>
      <x:c r="J80" s="41" t="inlineStr">
        <x:is>
          <x:t xml:space="preserve">feat(frontend): add appointments list with pagination</x:t>
        </x:is>
      </x:c>
      <x:c r="K80" s="41" t="n"/>
      <x:c r="L80" s="41" t="n"/>
      <x:c r="M80" s="37" t="inlineStr">
        <x:is>
          <x:t xml:space="preserve">Todo</x:t>
        </x:is>
      </x:c>
      <x:c r="N80" s="38" t="n"/>
      <x:c r="O80" s="38" t="n"/>
    </x:row>
    <x:row r="81" s="25" customFormat="1" ht="15" customHeight="1">
      <x:c r="A81" s="39" t="inlineStr">
        <x:is>
          <x:t xml:space="preserve">C075</x:t>
        </x:is>
      </x:c>
      <x:c r="B81" s="39" t="n">
        <x:v>2</x:v>
      </x:c>
      <x:c r="C81" s="40" t="n">
        <x:f>$B$4+9</x:f>
        <x:v>46330</x:v>
      </x:c>
      <x:c r="D81" s="39" t="inlineStr">
        <x:is>
          <x:t xml:space="preserve">Thứ 4</x:t>
        </x:is>
      </x:c>
      <x:c r="E81" s="41" t="inlineStr">
        <x:is>
          <x:t xml:space="preserve">Lê Văn Cường</x:t>
        </x:is>
      </x:c>
      <x:c r="F81" s="41" t="inlineStr">
        <x:is>
          <x:t xml:space="preserve">Frontend + E2E</x:t>
        </x:is>
      </x:c>
      <x:c r="G81" s="39" t="inlineStr">
        <x:is>
          <x:t xml:space="preserve">TASK-003</x:t>
        </x:is>
      </x:c>
      <x:c r="H81" s="41" t="inlineStr">
        <x:is>
          <x:t xml:space="preserve">feat/task-003-booking-flow</x:t>
        </x:is>
      </x:c>
      <x:c r="I81" s="39" t="n">
        <x:v>5</x:v>
      </x:c>
      <x:c r="J81" s="41" t="inlineStr">
        <x:is>
          <x:t xml:space="preserve">feat(frontend): cancel booking with confirmation</x:t>
        </x:is>
      </x:c>
      <x:c r="K81" s="41" t="inlineStr">
        <x:is>
          <x:t xml:space="preserve">DELETE /api/appointments/{id}</x:t>
        </x:is>
      </x:c>
      <x:c r="L81" s="41" t="n"/>
      <x:c r="M81" s="37" t="inlineStr">
        <x:is>
          <x:t xml:space="preserve">Todo</x:t>
        </x:is>
      </x:c>
      <x:c r="N81" s="38" t="n"/>
      <x:c r="O81" s="38" t="n"/>
    </x:row>
    <x:row r="82" s="25" customFormat="1" ht="15" customHeight="1">
      <x:c r="A82" s="39" t="inlineStr">
        <x:is>
          <x:t xml:space="preserve">C076</x:t>
        </x:is>
      </x:c>
      <x:c r="B82" s="39" t="n">
        <x:v>2</x:v>
      </x:c>
      <x:c r="C82" s="40" t="n">
        <x:f>$B$4+9</x:f>
        <x:v>46330</x:v>
      </x:c>
      <x:c r="D82" s="39" t="inlineStr">
        <x:is>
          <x:t xml:space="preserve">Thứ 4</x:t>
        </x:is>
      </x:c>
      <x:c r="E82" s="41" t="inlineStr">
        <x:is>
          <x:t xml:space="preserve">Lê Văn Cường</x:t>
        </x:is>
      </x:c>
      <x:c r="F82" s="41" t="inlineStr">
        <x:is>
          <x:t xml:space="preserve">Frontend + E2E</x:t>
        </x:is>
      </x:c>
      <x:c r="G82" s="39" t="inlineStr">
        <x:is>
          <x:t xml:space="preserve">TASK-003</x:t>
        </x:is>
      </x:c>
      <x:c r="H82" s="41" t="inlineStr">
        <x:is>
          <x:t xml:space="preserve">feat/task-003-booking-flow</x:t>
        </x:is>
      </x:c>
      <x:c r="I82" s="39" t="n">
        <x:v>6</x:v>
      </x:c>
      <x:c r="J82" s="41" t="inlineStr">
        <x:is>
          <x:t xml:space="preserve">test(frontend): cover cancel flow</x:t>
        </x:is>
      </x:c>
      <x:c r="K82" s="41" t="n"/>
      <x:c r="L82" s="41" t="n"/>
      <x:c r="M82" s="37" t="inlineStr">
        <x:is>
          <x:t xml:space="preserve">Todo</x:t>
        </x:is>
      </x:c>
      <x:c r="N82" s="38" t="n"/>
      <x:c r="O82" s="38" t="n"/>
    </x:row>
    <x:row r="83" s="25" customFormat="1" ht="15" customHeight="1">
      <x:c r="A83" s="39" t="inlineStr">
        <x:is>
          <x:t xml:space="preserve">C077</x:t>
        </x:is>
      </x:c>
      <x:c r="B83" s="39" t="n">
        <x:v>2</x:v>
      </x:c>
      <x:c r="C83" s="40" t="n">
        <x:f>$B$4+10</x:f>
        <x:v>46331</x:v>
      </x:c>
      <x:c r="D83" s="39" t="inlineStr">
        <x:is>
          <x:t xml:space="preserve">Thứ 5</x:t>
        </x:is>
      </x:c>
      <x:c r="E83" s="41" t="inlineStr">
        <x:is>
          <x:t xml:space="preserve">Lê Văn Cường</x:t>
        </x:is>
      </x:c>
      <x:c r="F83" s="41" t="inlineStr">
        <x:is>
          <x:t xml:space="preserve">Frontend + E2E</x:t>
        </x:is>
      </x:c>
      <x:c r="G83" s="39" t="inlineStr">
        <x:is>
          <x:t xml:space="preserve">TASK-003</x:t>
        </x:is>
      </x:c>
      <x:c r="H83" s="41" t="inlineStr">
        <x:is>
          <x:t xml:space="preserve">feat/task-003-booking-flow</x:t>
        </x:is>
      </x:c>
      <x:c r="I83" s="39" t="n">
        <x:v>7</x:v>
      </x:c>
      <x:c r="J83" s="41" t="inlineStr">
        <x:is>
          <x:t xml:space="preserve">feat(frontend): show release and commit from /api/version</x:t>
        </x:is>
      </x:c>
      <x:c r="K83" s="41" t="inlineStr">
        <x:is>
          <x:t xml:space="preserve">Footer hiển thị version</x:t>
        </x:is>
      </x:c>
      <x:c r="L83" s="41" t="n"/>
      <x:c r="M83" s="37" t="inlineStr">
        <x:is>
          <x:t xml:space="preserve">Todo</x:t>
        </x:is>
      </x:c>
      <x:c r="N83" s="38" t="n"/>
      <x:c r="O83" s="38" t="n"/>
    </x:row>
    <x:row r="84" s="25" customFormat="1" ht="15" customHeight="1">
      <x:c r="A84" s="39" t="inlineStr">
        <x:is>
          <x:t xml:space="preserve">C078</x:t>
        </x:is>
      </x:c>
      <x:c r="B84" s="39" t="n">
        <x:v>2</x:v>
      </x:c>
      <x:c r="C84" s="40" t="n">
        <x:f>$B$4+10</x:f>
        <x:v>46331</x:v>
      </x:c>
      <x:c r="D84" s="39" t="inlineStr">
        <x:is>
          <x:t xml:space="preserve">Thứ 5</x:t>
        </x:is>
      </x:c>
      <x:c r="E84" s="41" t="inlineStr">
        <x:is>
          <x:t xml:space="preserve">Lê Văn Cường</x:t>
        </x:is>
      </x:c>
      <x:c r="F84" s="41" t="inlineStr">
        <x:is>
          <x:t xml:space="preserve">Frontend + E2E</x:t>
        </x:is>
      </x:c>
      <x:c r="G84" s="39" t="inlineStr">
        <x:is>
          <x:t xml:space="preserve">TASK-003</x:t>
        </x:is>
      </x:c>
      <x:c r="H84" s="41" t="inlineStr">
        <x:is>
          <x:t xml:space="preserve">feat/task-003-booking-flow</x:t>
        </x:is>
      </x:c>
      <x:c r="I84" s="39" t="n">
        <x:v>8</x:v>
      </x:c>
      <x:c r="J84" s="41" t="inlineStr">
        <x:is>
          <x:t xml:space="preserve">style(frontend): add responsive base layout</x:t>
        </x:is>
      </x:c>
      <x:c r="K84" s="41" t="n"/>
      <x:c r="L84" s="41" t="n"/>
      <x:c r="M84" s="37" t="inlineStr">
        <x:is>
          <x:t xml:space="preserve">Todo</x:t>
        </x:is>
      </x:c>
      <x:c r="N84" s="38" t="n"/>
      <x:c r="O84" s="38" t="n"/>
    </x:row>
    <x:row r="85" s="25" customFormat="1" ht="15" customHeight="1">
      <x:c r="A85" s="39" t="inlineStr">
        <x:is>
          <x:t xml:space="preserve">C079</x:t>
        </x:is>
      </x:c>
      <x:c r="B85" s="39" t="n">
        <x:v>2</x:v>
      </x:c>
      <x:c r="C85" s="40" t="n">
        <x:f>$B$4+11</x:f>
        <x:v>46332</x:v>
      </x:c>
      <x:c r="D85" s="39" t="inlineStr">
        <x:is>
          <x:t xml:space="preserve">Thứ 6</x:t>
        </x:is>
      </x:c>
      <x:c r="E85" s="41" t="inlineStr">
        <x:is>
          <x:t xml:space="preserve">Lê Văn Cường</x:t>
        </x:is>
      </x:c>
      <x:c r="F85" s="41" t="inlineStr">
        <x:is>
          <x:t xml:space="preserve">Frontend + E2E</x:t>
        </x:is>
      </x:c>
      <x:c r="G85" s="39" t="inlineStr">
        <x:is>
          <x:t xml:space="preserve">TASK-003</x:t>
        </x:is>
      </x:c>
      <x:c r="H85" s="41" t="inlineStr">
        <x:is>
          <x:t xml:space="preserve">feat/task-003-booking-flow</x:t>
        </x:is>
      </x:c>
      <x:c r="I85" s="39" t="n">
        <x:v>9</x:v>
      </x:c>
      <x:c r="J85" s="41" t="inlineStr">
        <x:is>
          <x:t xml:space="preserve">build(frontend): add multi-stage Dockerfile</x:t>
        </x:is>
      </x:c>
      <x:c r="K85" s="41" t="inlineStr">
        <x:is>
          <x:t xml:space="preserve">Node build → Nginx serve</x:t>
        </x:is>
      </x:c>
      <x:c r="L85" s="41" t="n"/>
      <x:c r="M85" s="37" t="inlineStr">
        <x:is>
          <x:t xml:space="preserve">Todo</x:t>
        </x:is>
      </x:c>
      <x:c r="N85" s="38" t="n"/>
      <x:c r="O85" s="38" t="n"/>
    </x:row>
    <x:row r="86" s="25" customFormat="1" ht="15" customHeight="1">
      <x:c r="A86" s="39" t="inlineStr">
        <x:is>
          <x:t xml:space="preserve">C080</x:t>
        </x:is>
      </x:c>
      <x:c r="B86" s="39" t="n">
        <x:v>2</x:v>
      </x:c>
      <x:c r="C86" s="40" t="n">
        <x:f>$B$4+11</x:f>
        <x:v>46332</x:v>
      </x:c>
      <x:c r="D86" s="39" t="inlineStr">
        <x:is>
          <x:t xml:space="preserve">Thứ 6</x:t>
        </x:is>
      </x:c>
      <x:c r="E86" s="41" t="inlineStr">
        <x:is>
          <x:t xml:space="preserve">Lê Văn Cường</x:t>
        </x:is>
      </x:c>
      <x:c r="F86" s="41" t="inlineStr">
        <x:is>
          <x:t xml:space="preserve">Frontend + E2E</x:t>
        </x:is>
      </x:c>
      <x:c r="G86" s="39" t="inlineStr">
        <x:is>
          <x:t xml:space="preserve">TASK-003</x:t>
        </x:is>
      </x:c>
      <x:c r="H86" s="41" t="inlineStr">
        <x:is>
          <x:t xml:space="preserve">feat/task-003-booking-flow</x:t>
        </x:is>
      </x:c>
      <x:c r="I86" s="39" t="n">
        <x:v>10</x:v>
      </x:c>
      <x:c r="J86" s="41" t="inlineStr">
        <x:is>
          <x:t xml:space="preserve">build(frontend): add nginx config proxying /api</x:t>
        </x:is>
      </x:c>
      <x:c r="K86" s="41" t="n"/>
      <x:c r="L86" s="41" t="n"/>
      <x:c r="M86" s="37" t="inlineStr">
        <x:is>
          <x:t xml:space="preserve">Todo</x:t>
        </x:is>
      </x:c>
      <x:c r="N86" s="38" t="n"/>
      <x:c r="O86" s="38" t="n"/>
    </x:row>
    <x:row r="87" s="25" customFormat="1" ht="15" customHeight="1">
      <x:c r="A87" s="39" t="inlineStr">
        <x:is>
          <x:t xml:space="preserve">C081</x:t>
        </x:is>
      </x:c>
      <x:c r="B87" s="39" t="n">
        <x:v>2</x:v>
      </x:c>
      <x:c r="C87" s="40" t="n">
        <x:f>$B$4+7</x:f>
        <x:v>46328</x:v>
      </x:c>
      <x:c r="D87" s="39" t="inlineStr">
        <x:is>
          <x:t xml:space="preserve">Thứ 2</x:t>
        </x:is>
      </x:c>
      <x:c r="E87" s="41" t="inlineStr">
        <x:is>
          <x:t xml:space="preserve">Nguyễn Việt Anh</x:t>
        </x:is>
      </x:c>
      <x:c r="F87" s="41" t="inlineStr">
        <x:is>
          <x:t xml:space="preserve">Release + độ tin cậy</x:t>
        </x:is>
      </x:c>
      <x:c r="G87" s="39" t="inlineStr">
        <x:is>
          <x:t xml:space="preserve">TASK-007</x:t>
        </x:is>
      </x:c>
      <x:c r="H87" s="41" t="inlineStr">
        <x:is>
          <x:t xml:space="preserve">feat/task-007-k6-loadtest</x:t>
        </x:is>
      </x:c>
      <x:c r="I87" s="39" t="n">
        <x:v>1</x:v>
      </x:c>
      <x:c r="J87" s="41" t="inlineStr">
        <x:is>
          <x:t xml:space="preserve">feat(loadtest): add create and cancel booking scenario</x:t>
        </x:is>
      </x:c>
      <x:c r="K87" s="41" t="n"/>
      <x:c r="L87" s="41" t="n"/>
      <x:c r="M87" s="37" t="inlineStr">
        <x:is>
          <x:t xml:space="preserve">Todo</x:t>
        </x:is>
      </x:c>
      <x:c r="N87" s="38" t="n"/>
      <x:c r="O87" s="38" t="n"/>
    </x:row>
    <x:row r="88" s="25" customFormat="1" ht="15" customHeight="1">
      <x:c r="A88" s="39" t="inlineStr">
        <x:is>
          <x:t xml:space="preserve">C082</x:t>
        </x:is>
      </x:c>
      <x:c r="B88" s="39" t="n">
        <x:v>2</x:v>
      </x:c>
      <x:c r="C88" s="40" t="n">
        <x:f>$B$4+7</x:f>
        <x:v>46328</x:v>
      </x:c>
      <x:c r="D88" s="39" t="inlineStr">
        <x:is>
          <x:t xml:space="preserve">Thứ 2</x:t>
        </x:is>
      </x:c>
      <x:c r="E88" s="41" t="inlineStr">
        <x:is>
          <x:t xml:space="preserve">Nguyễn Việt Anh</x:t>
        </x:is>
      </x:c>
      <x:c r="F88" s="41" t="inlineStr">
        <x:is>
          <x:t xml:space="preserve">Release + độ tin cậy</x:t>
        </x:is>
      </x:c>
      <x:c r="G88" s="39" t="inlineStr">
        <x:is>
          <x:t xml:space="preserve">TASK-007</x:t>
        </x:is>
      </x:c>
      <x:c r="H88" s="41" t="inlineStr">
        <x:is>
          <x:t xml:space="preserve">feat/task-007-k6-loadtest</x:t>
        </x:is>
      </x:c>
      <x:c r="I88" s="39" t="n">
        <x:v>2</x:v>
      </x:c>
      <x:c r="J88" s="41" t="inlineStr">
        <x:is>
          <x:t xml:space="preserve">feat(loadtest): add 10 rps constant arrival profile for 10 minutes</x:t>
        </x:is>
      </x:c>
      <x:c r="K88" s="41" t="inlineStr">
        <x:is>
          <x:t xml:space="preserve">Theo E15</x:t>
        </x:is>
      </x:c>
      <x:c r="L88" s="41" t="n"/>
      <x:c r="M88" s="37" t="inlineStr">
        <x:is>
          <x:t xml:space="preserve">Todo</x:t>
        </x:is>
      </x:c>
      <x:c r="N88" s="38" t="n"/>
      <x:c r="O88" s="38" t="n"/>
    </x:row>
    <x:row r="89" s="25" customFormat="1" ht="15" customHeight="1">
      <x:c r="A89" s="39" t="inlineStr">
        <x:is>
          <x:t xml:space="preserve">C083</x:t>
        </x:is>
      </x:c>
      <x:c r="B89" s="39" t="n">
        <x:v>2</x:v>
      </x:c>
      <x:c r="C89" s="40" t="n">
        <x:f>$B$4+8</x:f>
        <x:v>46329</x:v>
      </x:c>
      <x:c r="D89" s="39" t="inlineStr">
        <x:is>
          <x:t xml:space="preserve">Thứ 3</x:t>
        </x:is>
      </x:c>
      <x:c r="E89" s="41" t="inlineStr">
        <x:is>
          <x:t xml:space="preserve">Nguyễn Việt Anh</x:t>
        </x:is>
      </x:c>
      <x:c r="F89" s="41" t="inlineStr">
        <x:is>
          <x:t xml:space="preserve">Release + độ tin cậy</x:t>
        </x:is>
      </x:c>
      <x:c r="G89" s="39" t="inlineStr">
        <x:is>
          <x:t xml:space="preserve">TASK-007</x:t>
        </x:is>
      </x:c>
      <x:c r="H89" s="41" t="inlineStr">
        <x:is>
          <x:t xml:space="preserve">feat/task-007-k6-loadtest</x:t>
        </x:is>
      </x:c>
      <x:c r="I89" s="39" t="n">
        <x:v>3</x:v>
      </x:c>
      <x:c r="J89" s="41" t="inlineStr">
        <x:is>
          <x:t xml:space="preserve">feat(loadtest): add thresholds for p95 and error rate</x:t>
        </x:is>
      </x:c>
      <x:c r="K89" s="41" t="inlineStr">
        <x:is>
          <x:t xml:space="preserve">p95 &lt; 500 ms</x:t>
        </x:is>
      </x:c>
      <x:c r="L89" s="41" t="n"/>
      <x:c r="M89" s="37" t="inlineStr">
        <x:is>
          <x:t xml:space="preserve">Todo</x:t>
        </x:is>
      </x:c>
      <x:c r="N89" s="38" t="n"/>
      <x:c r="O89" s="38" t="n"/>
    </x:row>
    <x:row r="90" s="25" customFormat="1" ht="15" customHeight="1">
      <x:c r="A90" s="39" t="inlineStr">
        <x:is>
          <x:t xml:space="preserve">C084</x:t>
        </x:is>
      </x:c>
      <x:c r="B90" s="39" t="n">
        <x:v>2</x:v>
      </x:c>
      <x:c r="C90" s="40" t="n">
        <x:f>$B$4+8</x:f>
        <x:v>46329</x:v>
      </x:c>
      <x:c r="D90" s="39" t="inlineStr">
        <x:is>
          <x:t xml:space="preserve">Thứ 3</x:t>
        </x:is>
      </x:c>
      <x:c r="E90" s="41" t="inlineStr">
        <x:is>
          <x:t xml:space="preserve">Nguyễn Việt Anh</x:t>
        </x:is>
      </x:c>
      <x:c r="F90" s="41" t="inlineStr">
        <x:is>
          <x:t xml:space="preserve">Release + độ tin cậy</x:t>
        </x:is>
      </x:c>
      <x:c r="G90" s="39" t="inlineStr">
        <x:is>
          <x:t xml:space="preserve">TASK-007</x:t>
        </x:is>
      </x:c>
      <x:c r="H90" s="41" t="inlineStr">
        <x:is>
          <x:t xml:space="preserve">feat/task-007-k6-loadtest</x:t>
        </x:is>
      </x:c>
      <x:c r="I90" s="39" t="n">
        <x:v>4</x:v>
      </x:c>
      <x:c r="J90" s="41" t="inlineStr">
        <x:is>
          <x:t xml:space="preserve">feat(loadtest): export summary JSON</x:t>
        </x:is>
      </x:c>
      <x:c r="K90" s="41" t="inlineStr">
        <x:is>
          <x:t xml:space="preserve">Làm bằng chứng</x:t>
        </x:is>
      </x:c>
      <x:c r="L90" s="41" t="n"/>
      <x:c r="M90" s="37" t="inlineStr">
        <x:is>
          <x:t xml:space="preserve">Todo</x:t>
        </x:is>
      </x:c>
      <x:c r="N90" s="38" t="n"/>
      <x:c r="O90" s="38" t="n"/>
    </x:row>
    <x:row r="91" s="25" customFormat="1" ht="15" customHeight="1">
      <x:c r="A91" s="39" t="inlineStr">
        <x:is>
          <x:t xml:space="preserve">C085</x:t>
        </x:is>
      </x:c>
      <x:c r="B91" s="39" t="n">
        <x:v>2</x:v>
      </x:c>
      <x:c r="C91" s="40" t="n">
        <x:f>$B$4+9</x:f>
        <x:v>46330</x:v>
      </x:c>
      <x:c r="D91" s="39" t="inlineStr">
        <x:is>
          <x:t xml:space="preserve">Thứ 4</x:t>
        </x:is>
      </x:c>
      <x:c r="E91" s="41" t="inlineStr">
        <x:is>
          <x:t xml:space="preserve">Nguyễn Việt Anh</x:t>
        </x:is>
      </x:c>
      <x:c r="F91" s="41" t="inlineStr">
        <x:is>
          <x:t xml:space="preserve">Release + độ tin cậy</x:t>
        </x:is>
      </x:c>
      <x:c r="G91" s="39" t="inlineStr">
        <x:is>
          <x:t xml:space="preserve">TASK-007</x:t>
        </x:is>
      </x:c>
      <x:c r="H91" s="41" t="inlineStr">
        <x:is>
          <x:t xml:space="preserve">feat/task-007-k6-loadtest</x:t>
        </x:is>
      </x:c>
      <x:c r="I91" s="39" t="n">
        <x:v>5</x:v>
      </x:c>
      <x:c r="J91" s="41" t="inlineStr">
        <x:is>
          <x:t xml:space="preserve">ci: add manual workflow running k6 on demo host</x:t>
        </x:is>
      </x:c>
      <x:c r="K91" s="41" t="n"/>
      <x:c r="L91" s="41" t="inlineStr">
        <x:is>
          <x:t xml:space="preserve">Hoàng Anh: runner (T2)</x:t>
        </x:is>
      </x:c>
      <x:c r="M91" s="37" t="inlineStr">
        <x:is>
          <x:t xml:space="preserve">Todo</x:t>
        </x:is>
      </x:c>
      <x:c r="N91" s="38" t="n"/>
      <x:c r="O91" s="38" t="n"/>
    </x:row>
    <x:row r="92" s="25" customFormat="1" ht="15" customHeight="1">
      <x:c r="A92" s="39" t="inlineStr">
        <x:is>
          <x:t xml:space="preserve">C086</x:t>
        </x:is>
      </x:c>
      <x:c r="B92" s="39" t="n">
        <x:v>2</x:v>
      </x:c>
      <x:c r="C92" s="40" t="n">
        <x:f>$B$4+9</x:f>
        <x:v>46330</x:v>
      </x:c>
      <x:c r="D92" s="39" t="inlineStr">
        <x:is>
          <x:t xml:space="preserve">Thứ 4</x:t>
        </x:is>
      </x:c>
      <x:c r="E92" s="41" t="inlineStr">
        <x:is>
          <x:t xml:space="preserve">Nguyễn Việt Anh</x:t>
        </x:is>
      </x:c>
      <x:c r="F92" s="41" t="inlineStr">
        <x:is>
          <x:t xml:space="preserve">Release + độ tin cậy</x:t>
        </x:is>
      </x:c>
      <x:c r="G92" s="39" t="inlineStr">
        <x:is>
          <x:t xml:space="preserve">TASK-007</x:t>
        </x:is>
      </x:c>
      <x:c r="H92" s="41" t="inlineStr">
        <x:is>
          <x:t xml:space="preserve">feat/task-007-k6-loadtest</x:t>
        </x:is>
      </x:c>
      <x:c r="I92" s="39" t="n">
        <x:v>6</x:v>
      </x:c>
      <x:c r="J92" s="41" t="inlineStr">
        <x:is>
          <x:t xml:space="preserve">feat(scripts): smoke test checks /api/version against manifest</x:t>
        </x:is>
      </x:c>
      <x:c r="K92" s="41" t="n"/>
      <x:c r="L92" s="41" t="n"/>
      <x:c r="M92" s="37" t="inlineStr">
        <x:is>
          <x:t xml:space="preserve">Todo</x:t>
        </x:is>
      </x:c>
      <x:c r="N92" s="38" t="n"/>
      <x:c r="O92" s="38" t="n"/>
    </x:row>
    <x:row r="93" s="25" customFormat="1" ht="15" customHeight="1">
      <x:c r="A93" s="39" t="inlineStr">
        <x:is>
          <x:t xml:space="preserve">C087</x:t>
        </x:is>
      </x:c>
      <x:c r="B93" s="39" t="n">
        <x:v>2</x:v>
      </x:c>
      <x:c r="C93" s="40" t="n">
        <x:f>$B$4+10</x:f>
        <x:v>46331</x:v>
      </x:c>
      <x:c r="D93" s="39" t="inlineStr">
        <x:is>
          <x:t xml:space="preserve">Thứ 5</x:t>
        </x:is>
      </x:c>
      <x:c r="E93" s="41" t="inlineStr">
        <x:is>
          <x:t xml:space="preserve">Nguyễn Việt Anh</x:t>
        </x:is>
      </x:c>
      <x:c r="F93" s="41" t="inlineStr">
        <x:is>
          <x:t xml:space="preserve">Release + độ tin cậy</x:t>
        </x:is>
      </x:c>
      <x:c r="G93" s="39" t="inlineStr">
        <x:is>
          <x:t xml:space="preserve">TASK-007</x:t>
        </x:is>
      </x:c>
      <x:c r="H93" s="41" t="inlineStr">
        <x:is>
          <x:t xml:space="preserve">feat/task-007-k6-loadtest</x:t>
        </x:is>
      </x:c>
      <x:c r="I93" s="39" t="n">
        <x:v>7</x:v>
      </x:c>
      <x:c r="J93" s="41" t="inlineStr">
        <x:is>
          <x:t xml:space="preserve">test(scripts): cover version check in smoke test</x:t>
        </x:is>
      </x:c>
      <x:c r="K93" s="41" t="n"/>
      <x:c r="L93" s="41" t="n"/>
      <x:c r="M93" s="37" t="inlineStr">
        <x:is>
          <x:t xml:space="preserve">Todo</x:t>
        </x:is>
      </x:c>
      <x:c r="N93" s="38" t="n"/>
      <x:c r="O93" s="38" t="n"/>
    </x:row>
    <x:row r="94" s="25" customFormat="1" ht="15" customHeight="1">
      <x:c r="A94" s="39" t="inlineStr">
        <x:is>
          <x:t xml:space="preserve">C088</x:t>
        </x:is>
      </x:c>
      <x:c r="B94" s="39" t="n">
        <x:v>2</x:v>
      </x:c>
      <x:c r="C94" s="40" t="n">
        <x:f>$B$4+10</x:f>
        <x:v>46331</x:v>
      </x:c>
      <x:c r="D94" s="39" t="inlineStr">
        <x:is>
          <x:t xml:space="preserve">Thứ 5</x:t>
        </x:is>
      </x:c>
      <x:c r="E94" s="41" t="inlineStr">
        <x:is>
          <x:t xml:space="preserve">Nguyễn Việt Anh</x:t>
        </x:is>
      </x:c>
      <x:c r="F94" s="41" t="inlineStr">
        <x:is>
          <x:t xml:space="preserve">Release + độ tin cậy</x:t>
        </x:is>
      </x:c>
      <x:c r="G94" s="39" t="inlineStr">
        <x:is>
          <x:t xml:space="preserve">TASK-007</x:t>
        </x:is>
      </x:c>
      <x:c r="H94" s="41" t="inlineStr">
        <x:is>
          <x:t xml:space="preserve">feat/task-007-k6-loadtest</x:t>
        </x:is>
      </x:c>
      <x:c r="I94" s="39" t="n">
        <x:v>8</x:v>
      </x:c>
      <x:c r="J94" s="41" t="inlineStr">
        <x:is>
          <x:t xml:space="preserve">feat(scripts): rollback restores env and fault config from manifest</x:t>
        </x:is>
      </x:c>
      <x:c r="K94" s="41" t="inlineStr">
        <x:is>
          <x:t xml:space="preserve">Rollback tắt được fault</x:t>
        </x:is>
      </x:c>
      <x:c r="L94" s="41" t="n"/>
      <x:c r="M94" s="37" t="inlineStr">
        <x:is>
          <x:t xml:space="preserve">Todo</x:t>
        </x:is>
      </x:c>
      <x:c r="N94" s="38" t="n"/>
      <x:c r="O94" s="38" t="n"/>
    </x:row>
    <x:row r="95" s="25" customFormat="1" ht="15" customHeight="1">
      <x:c r="A95" s="39" t="inlineStr">
        <x:is>
          <x:t xml:space="preserve">C089</x:t>
        </x:is>
      </x:c>
      <x:c r="B95" s="39" t="n">
        <x:v>2</x:v>
      </x:c>
      <x:c r="C95" s="40" t="n">
        <x:f>$B$4+11</x:f>
        <x:v>46332</x:v>
      </x:c>
      <x:c r="D95" s="39" t="inlineStr">
        <x:is>
          <x:t xml:space="preserve">Thứ 6</x:t>
        </x:is>
      </x:c>
      <x:c r="E95" s="41" t="inlineStr">
        <x:is>
          <x:t xml:space="preserve">Nguyễn Việt Anh</x:t>
        </x:is>
      </x:c>
      <x:c r="F95" s="41" t="inlineStr">
        <x:is>
          <x:t xml:space="preserve">Release + độ tin cậy</x:t>
        </x:is>
      </x:c>
      <x:c r="G95" s="39" t="inlineStr">
        <x:is>
          <x:t xml:space="preserve">TASK-007</x:t>
        </x:is>
      </x:c>
      <x:c r="H95" s="41" t="inlineStr">
        <x:is>
          <x:t xml:space="preserve">feat/task-007-k6-loadtest</x:t>
        </x:is>
      </x:c>
      <x:c r="I95" s="39" t="n">
        <x:v>9</x:v>
      </x:c>
      <x:c r="J95" s="41" t="inlineStr">
        <x:is>
          <x:t xml:space="preserve">test(scripts): cover config restore on rollback</x:t>
        </x:is>
      </x:c>
      <x:c r="K95" s="41" t="n"/>
      <x:c r="L95" s="41" t="n"/>
      <x:c r="M95" s="37" t="inlineStr">
        <x:is>
          <x:t xml:space="preserve">Todo</x:t>
        </x:is>
      </x:c>
      <x:c r="N95" s="38" t="n"/>
      <x:c r="O95" s="38" t="n"/>
    </x:row>
    <x:row r="96" s="25" customFormat="1" ht="15" customHeight="1">
      <x:c r="A96" s="39" t="inlineStr">
        <x:is>
          <x:t xml:space="preserve">C090</x:t>
        </x:is>
      </x:c>
      <x:c r="B96" s="39" t="n">
        <x:v>2</x:v>
      </x:c>
      <x:c r="C96" s="40" t="n">
        <x:f>$B$4+11</x:f>
        <x:v>46332</x:v>
      </x:c>
      <x:c r="D96" s="39" t="inlineStr">
        <x:is>
          <x:t xml:space="preserve">Thứ 6</x:t>
        </x:is>
      </x:c>
      <x:c r="E96" s="41" t="inlineStr">
        <x:is>
          <x:t xml:space="preserve">Nguyễn Việt Anh</x:t>
        </x:is>
      </x:c>
      <x:c r="F96" s="41" t="inlineStr">
        <x:is>
          <x:t xml:space="preserve">Release + độ tin cậy</x:t>
        </x:is>
      </x:c>
      <x:c r="G96" s="39" t="inlineStr">
        <x:is>
          <x:t xml:space="preserve">TASK-007</x:t>
        </x:is>
      </x:c>
      <x:c r="H96" s="41" t="inlineStr">
        <x:is>
          <x:t xml:space="preserve">feat/task-007-k6-loadtest</x:t>
        </x:is>
      </x:c>
      <x:c r="I96" s="39" t="n">
        <x:v>10</x:v>
      </x:c>
      <x:c r="J96" s="41" t="inlineStr">
        <x:is>
          <x:t xml:space="preserve">docs(releases): add rollback runbook</x:t>
        </x:is>
      </x:c>
      <x:c r="K96" s="41" t="n"/>
      <x:c r="L96" s="41" t="n"/>
      <x:c r="M96" s="37" t="inlineStr">
        <x:is>
          <x:t xml:space="preserve">Todo</x:t>
        </x:is>
      </x:c>
      <x:c r="N96" s="38" t="n"/>
      <x:c r="O96" s="38" t="n"/>
    </x:row>
    <x:row r="97" s="25" customFormat="1" ht="15" customHeight="1">
      <x:c r="A97" s="39" t="inlineStr">
        <x:is>
          <x:t xml:space="preserve">C091</x:t>
        </x:is>
      </x:c>
      <x:c r="B97" s="39" t="n">
        <x:v>2</x:v>
      </x:c>
      <x:c r="C97" s="40" t="n">
        <x:f>$B$4+7</x:f>
        <x:v>46328</x:v>
      </x:c>
      <x:c r="D97" s="39" t="inlineStr">
        <x:is>
          <x:t xml:space="preserve">Thứ 2</x:t>
        </x:is>
      </x:c>
      <x:c r="E97" s="41" t="inlineStr">
        <x:is>
          <x:t xml:space="preserve">Vũ Thành Công</x:t>
        </x:is>
      </x:c>
      <x:c r="F97" s="41" t="inlineStr">
        <x:is>
          <x:t xml:space="preserve">Observability</x:t>
        </x:is>
      </x:c>
      <x:c r="G97" s="39" t="inlineStr">
        <x:is>
          <x:t xml:space="preserve">TASK-006</x:t>
        </x:is>
      </x:c>
      <x:c r="H97" s="41" t="inlineStr">
        <x:is>
          <x:t xml:space="preserve">feat/task-006-otel-metrics-logs</x:t>
        </x:is>
      </x:c>
      <x:c r="I97" s="39" t="n">
        <x:v>1</x:v>
      </x:c>
      <x:c r="J97" s="41" t="inlineStr">
        <x:is>
          <x:t xml:space="preserve">feat(telemetry): add OTLP metrics exporter</x:t>
        </x:is>
      </x:c>
      <x:c r="K97" s="41" t="n"/>
      <x:c r="L97" s="41" t="n"/>
      <x:c r="M97" s="37" t="inlineStr">
        <x:is>
          <x:t xml:space="preserve">Todo</x:t>
        </x:is>
      </x:c>
      <x:c r="N97" s="38" t="n"/>
      <x:c r="O97" s="38" t="n"/>
    </x:row>
    <x:row r="98" s="25" customFormat="1" ht="15" customHeight="1">
      <x:c r="A98" s="39" t="inlineStr">
        <x:is>
          <x:t xml:space="preserve">C092</x:t>
        </x:is>
      </x:c>
      <x:c r="B98" s="39" t="n">
        <x:v>2</x:v>
      </x:c>
      <x:c r="C98" s="40" t="n">
        <x:f>$B$4+7</x:f>
        <x:v>46328</x:v>
      </x:c>
      <x:c r="D98" s="39" t="inlineStr">
        <x:is>
          <x:t xml:space="preserve">Thứ 2</x:t>
        </x:is>
      </x:c>
      <x:c r="E98" s="41" t="inlineStr">
        <x:is>
          <x:t xml:space="preserve">Vũ Thành Công</x:t>
        </x:is>
      </x:c>
      <x:c r="F98" s="41" t="inlineStr">
        <x:is>
          <x:t xml:space="preserve">Observability</x:t>
        </x:is>
      </x:c>
      <x:c r="G98" s="39" t="inlineStr">
        <x:is>
          <x:t xml:space="preserve">TASK-006</x:t>
        </x:is>
      </x:c>
      <x:c r="H98" s="41" t="inlineStr">
        <x:is>
          <x:t xml:space="preserve">feat/task-006-otel-metrics-logs</x:t>
        </x:is>
      </x:c>
      <x:c r="I98" s="39" t="n">
        <x:v>2</x:v>
      </x:c>
      <x:c r="J98" s="41" t="inlineStr">
        <x:is>
          <x:t xml:space="preserve">feat(metrics): configure HTTP duration histogram buckets</x:t>
        </x:is>
      </x:c>
      <x:c r="K98" s="41" t="n"/>
      <x:c r="L98" s="41" t="n"/>
      <x:c r="M98" s="37" t="inlineStr">
        <x:is>
          <x:t xml:space="preserve">Todo</x:t>
        </x:is>
      </x:c>
      <x:c r="N98" s="38" t="n"/>
      <x:c r="O98" s="38" t="n"/>
    </x:row>
    <x:row r="99" s="25" customFormat="1" ht="15" customHeight="1">
      <x:c r="A99" s="39" t="inlineStr">
        <x:is>
          <x:t xml:space="preserve">C093</x:t>
        </x:is>
      </x:c>
      <x:c r="B99" s="39" t="n">
        <x:v>2</x:v>
      </x:c>
      <x:c r="C99" s="40" t="n">
        <x:f>$B$4+8</x:f>
        <x:v>46329</x:v>
      </x:c>
      <x:c r="D99" s="39" t="inlineStr">
        <x:is>
          <x:t xml:space="preserve">Thứ 3</x:t>
        </x:is>
      </x:c>
      <x:c r="E99" s="41" t="inlineStr">
        <x:is>
          <x:t xml:space="preserve">Vũ Thành Công</x:t>
        </x:is>
      </x:c>
      <x:c r="F99" s="41" t="inlineStr">
        <x:is>
          <x:t xml:space="preserve">Observability</x:t>
        </x:is>
      </x:c>
      <x:c r="G99" s="39" t="inlineStr">
        <x:is>
          <x:t xml:space="preserve">TASK-006</x:t>
        </x:is>
      </x:c>
      <x:c r="H99" s="41" t="inlineStr">
        <x:is>
          <x:t xml:space="preserve">feat/task-006-otel-metrics-logs</x:t>
        </x:is>
      </x:c>
      <x:c r="I99" s="39" t="n">
        <x:v>3</x:v>
      </x:c>
      <x:c r="J99" s="41" t="inlineStr">
        <x:is>
          <x:t xml:space="preserve">test(metrics): labels use route templates only</x:t>
        </x:is>
      </x:c>
      <x:c r="K99" s="41" t="n"/>
      <x:c r="L99" s="41" t="n"/>
      <x:c r="M99" s="37" t="inlineStr">
        <x:is>
          <x:t xml:space="preserve">Todo</x:t>
        </x:is>
      </x:c>
      <x:c r="N99" s="38" t="n"/>
      <x:c r="O99" s="38" t="n"/>
    </x:row>
    <x:row r="100" s="25" customFormat="1" ht="15" customHeight="1">
      <x:c r="A100" s="39" t="inlineStr">
        <x:is>
          <x:t xml:space="preserve">C094</x:t>
        </x:is>
      </x:c>
      <x:c r="B100" s="39" t="n">
        <x:v>2</x:v>
      </x:c>
      <x:c r="C100" s="40" t="n">
        <x:f>$B$4+8</x:f>
        <x:v>46329</x:v>
      </x:c>
      <x:c r="D100" s="39" t="inlineStr">
        <x:is>
          <x:t xml:space="preserve">Thứ 3</x:t>
        </x:is>
      </x:c>
      <x:c r="E100" s="41" t="inlineStr">
        <x:is>
          <x:t xml:space="preserve">Vũ Thành Công</x:t>
        </x:is>
      </x:c>
      <x:c r="F100" s="41" t="inlineStr">
        <x:is>
          <x:t xml:space="preserve">Observability</x:t>
        </x:is>
      </x:c>
      <x:c r="G100" s="39" t="inlineStr">
        <x:is>
          <x:t xml:space="preserve">TASK-006</x:t>
        </x:is>
      </x:c>
      <x:c r="H100" s="41" t="inlineStr">
        <x:is>
          <x:t xml:space="preserve">feat/task-006-otel-metrics-logs</x:t>
        </x:is>
      </x:c>
      <x:c r="I100" s="39" t="n">
        <x:v>4</x:v>
      </x:c>
      <x:c r="J100" s="41" t="inlineStr">
        <x:is>
          <x:t xml:space="preserve">feat(telemetry): add OTLP logs bridge</x:t>
        </x:is>
      </x:c>
      <x:c r="K100" s="41" t="n"/>
      <x:c r="L100" s="41" t="n"/>
      <x:c r="M100" s="37" t="inlineStr">
        <x:is>
          <x:t xml:space="preserve">Todo</x:t>
        </x:is>
      </x:c>
      <x:c r="N100" s="38" t="n"/>
      <x:c r="O100" s="38" t="n"/>
    </x:row>
    <x:row r="101" s="25" customFormat="1" ht="15" customHeight="1">
      <x:c r="A101" s="39" t="inlineStr">
        <x:is>
          <x:t xml:space="preserve">C095</x:t>
        </x:is>
      </x:c>
      <x:c r="B101" s="39" t="n">
        <x:v>2</x:v>
      </x:c>
      <x:c r="C101" s="40" t="n">
        <x:f>$B$4+9</x:f>
        <x:v>46330</x:v>
      </x:c>
      <x:c r="D101" s="39" t="inlineStr">
        <x:is>
          <x:t xml:space="preserve">Thứ 4</x:t>
        </x:is>
      </x:c>
      <x:c r="E101" s="41" t="inlineStr">
        <x:is>
          <x:t xml:space="preserve">Vũ Thành Công</x:t>
        </x:is>
      </x:c>
      <x:c r="F101" s="41" t="inlineStr">
        <x:is>
          <x:t xml:space="preserve">Observability</x:t>
        </x:is>
      </x:c>
      <x:c r="G101" s="39" t="inlineStr">
        <x:is>
          <x:t xml:space="preserve">TASK-006</x:t>
        </x:is>
      </x:c>
      <x:c r="H101" s="41" t="inlineStr">
        <x:is>
          <x:t xml:space="preserve">feat/task-006-otel-metrics-logs</x:t>
        </x:is>
      </x:c>
      <x:c r="I101" s="39" t="n">
        <x:v>5</x:v>
      </x:c>
      <x:c r="J101" s="41" t="inlineStr">
        <x:is>
          <x:t xml:space="preserve">test(telemetry): booking succeeds when collector unavailable</x:t>
        </x:is>
      </x:c>
      <x:c r="K101" s="41" t="inlineStr">
        <x:is>
          <x:t xml:space="preserve">E10</x:t>
        </x:is>
      </x:c>
      <x:c r="L101" s="41" t="n"/>
      <x:c r="M101" s="37" t="inlineStr">
        <x:is>
          <x:t xml:space="preserve">Todo</x:t>
        </x:is>
      </x:c>
      <x:c r="N101" s="38" t="n"/>
      <x:c r="O101" s="38" t="n"/>
    </x:row>
    <x:row r="102" s="25" customFormat="1" ht="23.850000381469727" customHeight="1">
      <x:c r="A102" s="39" t="inlineStr">
        <x:is>
          <x:t xml:space="preserve">C096</x:t>
        </x:is>
      </x:c>
      <x:c r="B102" s="39" t="n">
        <x:v>2</x:v>
      </x:c>
      <x:c r="C102" s="40" t="n">
        <x:f>$B$4+9</x:f>
        <x:v>46330</x:v>
      </x:c>
      <x:c r="D102" s="39" t="inlineStr">
        <x:is>
          <x:t xml:space="preserve">Thứ 4</x:t>
        </x:is>
      </x:c>
      <x:c r="E102" s="41" t="inlineStr">
        <x:is>
          <x:t xml:space="preserve">Vũ Thành Công</x:t>
        </x:is>
      </x:c>
      <x:c r="F102" s="41" t="inlineStr">
        <x:is>
          <x:t xml:space="preserve">Observability</x:t>
        </x:is>
      </x:c>
      <x:c r="G102" s="39" t="inlineStr">
        <x:is>
          <x:t xml:space="preserve">TASK-006</x:t>
        </x:is>
      </x:c>
      <x:c r="H102" s="41" t="inlineStr">
        <x:is>
          <x:t xml:space="preserve">feat/task-006-otel-metrics-logs</x:t>
        </x:is>
      </x:c>
      <x:c r="I102" s="39" t="n">
        <x:v>6</x:v>
      </x:c>
      <x:c r="J102" s="41" t="inlineStr">
        <x:is>
          <x:t xml:space="preserve">feat(telemetry): make export timeout and queue size configurable</x:t>
        </x:is>
      </x:c>
      <x:c r="K102" s="41" t="n"/>
      <x:c r="L102" s="41" t="n"/>
      <x:c r="M102" s="37" t="inlineStr">
        <x:is>
          <x:t xml:space="preserve">Todo</x:t>
        </x:is>
      </x:c>
      <x:c r="N102" s="38" t="n"/>
      <x:c r="O102" s="38" t="n"/>
    </x:row>
    <x:row r="103" s="25" customFormat="1" ht="15" customHeight="1">
      <x:c r="A103" s="39" t="inlineStr">
        <x:is>
          <x:t xml:space="preserve">C097</x:t>
        </x:is>
      </x:c>
      <x:c r="B103" s="39" t="n">
        <x:v>2</x:v>
      </x:c>
      <x:c r="C103" s="40" t="n">
        <x:f>$B$4+10</x:f>
        <x:v>46331</x:v>
      </x:c>
      <x:c r="D103" s="39" t="inlineStr">
        <x:is>
          <x:t xml:space="preserve">Thứ 5</x:t>
        </x:is>
      </x:c>
      <x:c r="E103" s="41" t="inlineStr">
        <x:is>
          <x:t xml:space="preserve">Vũ Thành Công</x:t>
        </x:is>
      </x:c>
      <x:c r="F103" s="41" t="inlineStr">
        <x:is>
          <x:t xml:space="preserve">Observability</x:t>
        </x:is>
      </x:c>
      <x:c r="G103" s="39" t="inlineStr">
        <x:is>
          <x:t xml:space="preserve">TASK-006</x:t>
        </x:is>
      </x:c>
      <x:c r="H103" s="41" t="inlineStr">
        <x:is>
          <x:t xml:space="preserve">feat/task-006-otel-metrics-logs</x:t>
        </x:is>
      </x:c>
      <x:c r="I103" s="39" t="n">
        <x:v>7</x:v>
      </x:c>
      <x:c r="J103" s="41" t="inlineStr">
        <x:is>
          <x:t xml:space="preserve">test(telemetry): latency unaffected when collector is down</x:t>
        </x:is>
      </x:c>
      <x:c r="K103" s="41" t="n"/>
      <x:c r="L103" s="41" t="n"/>
      <x:c r="M103" s="37" t="inlineStr">
        <x:is>
          <x:t xml:space="preserve">Todo</x:t>
        </x:is>
      </x:c>
      <x:c r="N103" s="38" t="n"/>
      <x:c r="O103" s="38" t="n"/>
    </x:row>
    <x:row r="104" s="25" customFormat="1" ht="15" customHeight="1">
      <x:c r="A104" s="39" t="inlineStr">
        <x:is>
          <x:t xml:space="preserve">C098</x:t>
        </x:is>
      </x:c>
      <x:c r="B104" s="39" t="n">
        <x:v>2</x:v>
      </x:c>
      <x:c r="C104" s="40" t="n">
        <x:f>$B$4+10</x:f>
        <x:v>46331</x:v>
      </x:c>
      <x:c r="D104" s="39" t="inlineStr">
        <x:is>
          <x:t xml:space="preserve">Thứ 5</x:t>
        </x:is>
      </x:c>
      <x:c r="E104" s="41" t="inlineStr">
        <x:is>
          <x:t xml:space="preserve">Vũ Thành Công</x:t>
        </x:is>
      </x:c>
      <x:c r="F104" s="41" t="inlineStr">
        <x:is>
          <x:t xml:space="preserve">Observability</x:t>
        </x:is>
      </x:c>
      <x:c r="G104" s="39" t="inlineStr">
        <x:is>
          <x:t xml:space="preserve">TASK-006</x:t>
        </x:is>
      </x:c>
      <x:c r="H104" s="41" t="inlineStr">
        <x:is>
          <x:t xml:space="preserve">feat/task-006-otel-metrics-logs</x:t>
        </x:is>
      </x:c>
      <x:c r="I104" s="39" t="n">
        <x:v>8</x:v>
      </x:c>
      <x:c r="J104" s="41" t="inlineStr">
        <x:is>
          <x:t xml:space="preserve">feat(metrics): enable exemplars with trace id</x:t>
        </x:is>
      </x:c>
      <x:c r="K104" s="41" t="inlineStr">
        <x:is>
          <x:t xml:space="preserve">Từ biểu đồ nhảy sang trace</x:t>
        </x:is>
      </x:c>
      <x:c r="L104" s="41" t="n"/>
      <x:c r="M104" s="37" t="inlineStr">
        <x:is>
          <x:t xml:space="preserve">Todo</x:t>
        </x:is>
      </x:c>
      <x:c r="N104" s="38" t="n"/>
      <x:c r="O104" s="38" t="n"/>
    </x:row>
    <x:row r="105" s="25" customFormat="1" ht="15" customHeight="1">
      <x:c r="A105" s="39" t="inlineStr">
        <x:is>
          <x:t xml:space="preserve">C099</x:t>
        </x:is>
      </x:c>
      <x:c r="B105" s="39" t="n">
        <x:v>2</x:v>
      </x:c>
      <x:c r="C105" s="40" t="n">
        <x:f>$B$4+11</x:f>
        <x:v>46332</x:v>
      </x:c>
      <x:c r="D105" s="39" t="inlineStr">
        <x:is>
          <x:t xml:space="preserve">Thứ 6</x:t>
        </x:is>
      </x:c>
      <x:c r="E105" s="41" t="inlineStr">
        <x:is>
          <x:t xml:space="preserve">Vũ Thành Công</x:t>
        </x:is>
      </x:c>
      <x:c r="F105" s="41" t="inlineStr">
        <x:is>
          <x:t xml:space="preserve">Observability</x:t>
        </x:is>
      </x:c>
      <x:c r="G105" s="39" t="inlineStr">
        <x:is>
          <x:t xml:space="preserve">TASK-006</x:t>
        </x:is>
      </x:c>
      <x:c r="H105" s="41" t="inlineStr">
        <x:is>
          <x:t xml:space="preserve">feat/task-006-otel-metrics-logs</x:t>
        </x:is>
      </x:c>
      <x:c r="I105" s="39" t="n">
        <x:v>9</x:v>
      </x:c>
      <x:c r="J105" s="41" t="inlineStr">
        <x:is>
          <x:t xml:space="preserve">docs(telemetry): document telemetry env vars</x:t>
        </x:is>
      </x:c>
      <x:c r="K105" s="41" t="n"/>
      <x:c r="L105" s="41" t="n"/>
      <x:c r="M105" s="37" t="inlineStr">
        <x:is>
          <x:t xml:space="preserve">Todo</x:t>
        </x:is>
      </x:c>
      <x:c r="N105" s="38" t="n"/>
      <x:c r="O105" s="38" t="n"/>
    </x:row>
    <x:row r="106" s="25" customFormat="1" ht="15" customHeight="1">
      <x:c r="A106" s="39" t="inlineStr">
        <x:is>
          <x:t xml:space="preserve">C100</x:t>
        </x:is>
      </x:c>
      <x:c r="B106" s="39" t="n">
        <x:v>2</x:v>
      </x:c>
      <x:c r="C106" s="40" t="n">
        <x:f>$B$4+11</x:f>
        <x:v>46332</x:v>
      </x:c>
      <x:c r="D106" s="39" t="inlineStr">
        <x:is>
          <x:t xml:space="preserve">Thứ 6</x:t>
        </x:is>
      </x:c>
      <x:c r="E106" s="41" t="inlineStr">
        <x:is>
          <x:t xml:space="preserve">Vũ Thành Công</x:t>
        </x:is>
      </x:c>
      <x:c r="F106" s="41" t="inlineStr">
        <x:is>
          <x:t xml:space="preserve">Observability</x:t>
        </x:is>
      </x:c>
      <x:c r="G106" s="39" t="inlineStr">
        <x:is>
          <x:t xml:space="preserve">TASK-006</x:t>
        </x:is>
      </x:c>
      <x:c r="H106" s="41" t="inlineStr">
        <x:is>
          <x:t xml:space="preserve">feat/task-006-otel-metrics-logs</x:t>
        </x:is>
      </x:c>
      <x:c r="I106" s="39" t="n">
        <x:v>10</x:v>
      </x:c>
      <x:c r="J106" s="41" t="inlineStr">
        <x:is>
          <x:t xml:space="preserve">docs(evidence): record E10 result</x:t>
        </x:is>
      </x:c>
      <x:c r="K106" s="41" t="n"/>
      <x:c r="L106" s="41" t="n"/>
      <x:c r="M106" s="37" t="inlineStr">
        <x:is>
          <x:t xml:space="preserve">Todo</x:t>
        </x:is>
      </x:c>
      <x:c r="N106" s="38" t="n"/>
      <x:c r="O106" s="38" t="n"/>
    </x:row>
    <x:row r="107" s="25" customFormat="1" ht="23.850000381469727" customHeight="1">
      <x:c r="A107" s="34" t="inlineStr">
        <x:is>
          <x:t xml:space="preserve">C101</x:t>
        </x:is>
      </x:c>
      <x:c r="B107" s="34" t="n">
        <x:v>3</x:v>
      </x:c>
      <x:c r="C107" s="35" t="n">
        <x:f>$B$4+14</x:f>
        <x:v>46335</x:v>
      </x:c>
      <x:c r="D107" s="34" t="inlineStr">
        <x:is>
          <x:t xml:space="preserve">Thứ 2</x:t>
        </x:is>
      </x:c>
      <x:c r="E107" s="36" t="inlineStr">
        <x:is>
          <x:t xml:space="preserve">Nguyễn Mai Hoàng Anh</x:t>
        </x:is>
      </x:c>
      <x:c r="F107" s="36" t="inlineStr">
        <x:is>
          <x:t xml:space="preserve">DevOps — CI/CD + hạ tầng monitoring</x:t>
        </x:is>
      </x:c>
      <x:c r="G107" s="34" t="inlineStr">
        <x:is>
          <x:t xml:space="preserve">TASK-006</x:t>
        </x:is>
      </x:c>
      <x:c r="H107" s="36" t="inlineStr">
        <x:is>
          <x:t xml:space="preserve">feat/task-006-obs-stack</x:t>
        </x:is>
      </x:c>
      <x:c r="I107" s="34" t="n">
        <x:v>1</x:v>
      </x:c>
      <x:c r="J107" s="36" t="inlineStr">
        <x:is>
          <x:t xml:space="preserve">deploy: add compose.observability.yaml with otel-collector</x:t>
        </x:is>
      </x:c>
      <x:c r="K107" s="36" t="inlineStr">
        <x:is>
          <x:t xml:space="preserve">Khung compose cho stack quan sát</x:t>
        </x:is>
      </x:c>
      <x:c r="L107" s="36" t="n"/>
      <x:c r="M107" s="37" t="inlineStr">
        <x:is>
          <x:t xml:space="preserve">Todo</x:t>
        </x:is>
      </x:c>
      <x:c r="N107" s="38" t="n"/>
      <x:c r="O107" s="38" t="n"/>
    </x:row>
    <x:row r="108" s="25" customFormat="1" ht="23.850000381469727" customHeight="1">
      <x:c r="A108" s="34" t="inlineStr">
        <x:is>
          <x:t xml:space="preserve">C102</x:t>
        </x:is>
      </x:c>
      <x:c r="B108" s="34" t="n">
        <x:v>3</x:v>
      </x:c>
      <x:c r="C108" s="35" t="n">
        <x:f>$B$4+14</x:f>
        <x:v>46335</x:v>
      </x:c>
      <x:c r="D108" s="34" t="inlineStr">
        <x:is>
          <x:t xml:space="preserve">Thứ 2</x:t>
        </x:is>
      </x:c>
      <x:c r="E108" s="36" t="inlineStr">
        <x:is>
          <x:t xml:space="preserve">Nguyễn Mai Hoàng Anh</x:t>
        </x:is>
      </x:c>
      <x:c r="F108" s="36" t="inlineStr">
        <x:is>
          <x:t xml:space="preserve">DevOps — CI/CD + hạ tầng monitoring</x:t>
        </x:is>
      </x:c>
      <x:c r="G108" s="34" t="inlineStr">
        <x:is>
          <x:t xml:space="preserve">TASK-006</x:t>
        </x:is>
      </x:c>
      <x:c r="H108" s="36" t="inlineStr">
        <x:is>
          <x:t xml:space="preserve">feat/task-006-obs-stack</x:t>
        </x:is>
      </x:c>
      <x:c r="I108" s="34" t="n">
        <x:v>2</x:v>
      </x:c>
      <x:c r="J108" s="36" t="inlineStr">
        <x:is>
          <x:t xml:space="preserve">obs(collector): configure OTLP receivers and batch processor</x:t>
        </x:is>
      </x:c>
      <x:c r="K108" s="36" t="inlineStr">
        <x:is>
          <x:t xml:space="preserve">Nhận gRPC/HTTP, batch, memory_limiter</x:t>
        </x:is>
      </x:c>
      <x:c r="L108" s="36" t="n"/>
      <x:c r="M108" s="37" t="inlineStr">
        <x:is>
          <x:t xml:space="preserve">Todo</x:t>
        </x:is>
      </x:c>
      <x:c r="N108" s="38" t="n"/>
      <x:c r="O108" s="38" t="n"/>
    </x:row>
    <x:row r="109" s="25" customFormat="1" ht="23.850000381469727" customHeight="1">
      <x:c r="A109" s="34" t="inlineStr">
        <x:is>
          <x:t xml:space="preserve">C103</x:t>
        </x:is>
      </x:c>
      <x:c r="B109" s="34" t="n">
        <x:v>3</x:v>
      </x:c>
      <x:c r="C109" s="35" t="n">
        <x:f>$B$4+15</x:f>
        <x:v>46336</x:v>
      </x:c>
      <x:c r="D109" s="34" t="inlineStr">
        <x:is>
          <x:t xml:space="preserve">Thứ 3</x:t>
        </x:is>
      </x:c>
      <x:c r="E109" s="36" t="inlineStr">
        <x:is>
          <x:t xml:space="preserve">Nguyễn Mai Hoàng Anh</x:t>
        </x:is>
      </x:c>
      <x:c r="F109" s="36" t="inlineStr">
        <x:is>
          <x:t xml:space="preserve">DevOps — CI/CD + hạ tầng monitoring</x:t>
        </x:is>
      </x:c>
      <x:c r="G109" s="34" t="inlineStr">
        <x:is>
          <x:t xml:space="preserve">TASK-006</x:t>
        </x:is>
      </x:c>
      <x:c r="H109" s="36" t="inlineStr">
        <x:is>
          <x:t xml:space="preserve">feat/task-006-obs-stack</x:t>
        </x:is>
      </x:c>
      <x:c r="I109" s="34" t="n">
        <x:v>3</x:v>
      </x:c>
      <x:c r="J109" s="36" t="inlineStr">
        <x:is>
          <x:t xml:space="preserve">obs(prometheus): add Prometheus scraping collector exporter</x:t>
        </x:is>
      </x:c>
      <x:c r="K109" s="36" t="inlineStr">
        <x:is>
          <x:t xml:space="preserve">Collector expose metrics, Prometheus scrape</x:t>
        </x:is>
      </x:c>
      <x:c r="L109" s="36" t="n"/>
      <x:c r="M109" s="37" t="inlineStr">
        <x:is>
          <x:t xml:space="preserve">Todo</x:t>
        </x:is>
      </x:c>
      <x:c r="N109" s="38" t="n"/>
      <x:c r="O109" s="38" t="n"/>
    </x:row>
    <x:row r="110" s="25" customFormat="1" ht="23.850000381469727" customHeight="1">
      <x:c r="A110" s="34" t="inlineStr">
        <x:is>
          <x:t xml:space="preserve">C104</x:t>
        </x:is>
      </x:c>
      <x:c r="B110" s="34" t="n">
        <x:v>3</x:v>
      </x:c>
      <x:c r="C110" s="35" t="n">
        <x:f>$B$4+15</x:f>
        <x:v>46336</x:v>
      </x:c>
      <x:c r="D110" s="34" t="inlineStr">
        <x:is>
          <x:t xml:space="preserve">Thứ 3</x:t>
        </x:is>
      </x:c>
      <x:c r="E110" s="36" t="inlineStr">
        <x:is>
          <x:t xml:space="preserve">Nguyễn Mai Hoàng Anh</x:t>
        </x:is>
      </x:c>
      <x:c r="F110" s="36" t="inlineStr">
        <x:is>
          <x:t xml:space="preserve">DevOps — CI/CD + hạ tầng monitoring</x:t>
        </x:is>
      </x:c>
      <x:c r="G110" s="34" t="inlineStr">
        <x:is>
          <x:t xml:space="preserve">TASK-006</x:t>
        </x:is>
      </x:c>
      <x:c r="H110" s="36" t="inlineStr">
        <x:is>
          <x:t xml:space="preserve">feat/task-006-obs-stack</x:t>
        </x:is>
      </x:c>
      <x:c r="I110" s="34" t="n">
        <x:v>4</x:v>
      </x:c>
      <x:c r="J110" s="36" t="inlineStr">
        <x:is>
          <x:t xml:space="preserve">obs(tempo): add Tempo with local storage and retention</x:t>
        </x:is>
      </x:c>
      <x:c r="K110" s="36" t="inlineStr">
        <x:is>
          <x:t xml:space="preserve">Collector → Tempo qua OTLP</x:t>
        </x:is>
      </x:c>
      <x:c r="L110" s="36" t="n"/>
      <x:c r="M110" s="37" t="inlineStr">
        <x:is>
          <x:t xml:space="preserve">Todo</x:t>
        </x:is>
      </x:c>
      <x:c r="N110" s="38" t="n"/>
      <x:c r="O110" s="38" t="n"/>
    </x:row>
    <x:row r="111" s="25" customFormat="1" ht="23.850000381469727" customHeight="1">
      <x:c r="A111" s="34" t="inlineStr">
        <x:is>
          <x:t xml:space="preserve">C105</x:t>
        </x:is>
      </x:c>
      <x:c r="B111" s="34" t="n">
        <x:v>3</x:v>
      </x:c>
      <x:c r="C111" s="35" t="n">
        <x:f>$B$4+16</x:f>
        <x:v>46337</x:v>
      </x:c>
      <x:c r="D111" s="34" t="inlineStr">
        <x:is>
          <x:t xml:space="preserve">Thứ 4</x:t>
        </x:is>
      </x:c>
      <x:c r="E111" s="36" t="inlineStr">
        <x:is>
          <x:t xml:space="preserve">Nguyễn Mai Hoàng Anh</x:t>
        </x:is>
      </x:c>
      <x:c r="F111" s="36" t="inlineStr">
        <x:is>
          <x:t xml:space="preserve">DevOps — CI/CD + hạ tầng monitoring</x:t>
        </x:is>
      </x:c>
      <x:c r="G111" s="34" t="inlineStr">
        <x:is>
          <x:t xml:space="preserve">TASK-006</x:t>
        </x:is>
      </x:c>
      <x:c r="H111" s="36" t="inlineStr">
        <x:is>
          <x:t xml:space="preserve">feat/task-006-obs-stack</x:t>
        </x:is>
      </x:c>
      <x:c r="I111" s="34" t="n">
        <x:v>5</x:v>
      </x:c>
      <x:c r="J111" s="36" t="inlineStr">
        <x:is>
          <x:t xml:space="preserve">obs(loki): add Loki and collector logs pipeline</x:t>
        </x:is>
      </x:c>
      <x:c r="K111" s="36" t="inlineStr">
        <x:is>
          <x:t xml:space="preserve">Collector → Loki qua OTLP</x:t>
        </x:is>
      </x:c>
      <x:c r="L111" s="36" t="n"/>
      <x:c r="M111" s="37" t="inlineStr">
        <x:is>
          <x:t xml:space="preserve">Todo</x:t>
        </x:is>
      </x:c>
      <x:c r="N111" s="38" t="n"/>
      <x:c r="O111" s="38" t="n"/>
    </x:row>
    <x:row r="112" s="25" customFormat="1" ht="23.850000381469727" customHeight="1">
      <x:c r="A112" s="34" t="inlineStr">
        <x:is>
          <x:t xml:space="preserve">C106</x:t>
        </x:is>
      </x:c>
      <x:c r="B112" s="34" t="n">
        <x:v>3</x:v>
      </x:c>
      <x:c r="C112" s="35" t="n">
        <x:f>$B$4+16</x:f>
        <x:v>46337</x:v>
      </x:c>
      <x:c r="D112" s="34" t="inlineStr">
        <x:is>
          <x:t xml:space="preserve">Thứ 4</x:t>
        </x:is>
      </x:c>
      <x:c r="E112" s="36" t="inlineStr">
        <x:is>
          <x:t xml:space="preserve">Nguyễn Mai Hoàng Anh</x:t>
        </x:is>
      </x:c>
      <x:c r="F112" s="36" t="inlineStr">
        <x:is>
          <x:t xml:space="preserve">DevOps — CI/CD + hạ tầng monitoring</x:t>
        </x:is>
      </x:c>
      <x:c r="G112" s="34" t="inlineStr">
        <x:is>
          <x:t xml:space="preserve">TASK-006</x:t>
        </x:is>
      </x:c>
      <x:c r="H112" s="36" t="inlineStr">
        <x:is>
          <x:t xml:space="preserve">feat/task-006-obs-stack</x:t>
        </x:is>
      </x:c>
      <x:c r="I112" s="34" t="n">
        <x:v>6</x:v>
      </x:c>
      <x:c r="J112" s="36" t="inlineStr">
        <x:is>
          <x:t xml:space="preserve">obs(grafana): provision Prometheus, Tempo and Loki datasources</x:t>
        </x:is>
      </x:c>
      <x:c r="K112" s="36" t="inlineStr">
        <x:is>
          <x:t xml:space="preserve">Datasource dạng code trong repo</x:t>
        </x:is>
      </x:c>
      <x:c r="L112" s="36" t="n"/>
      <x:c r="M112" s="37" t="inlineStr">
        <x:is>
          <x:t xml:space="preserve">Todo</x:t>
        </x:is>
      </x:c>
      <x:c r="N112" s="38" t="n"/>
      <x:c r="O112" s="38" t="n"/>
    </x:row>
    <x:row r="113" s="25" customFormat="1" ht="23.850000381469727" customHeight="1">
      <x:c r="A113" s="34" t="inlineStr">
        <x:is>
          <x:t xml:space="preserve">C107</x:t>
        </x:is>
      </x:c>
      <x:c r="B113" s="34" t="n">
        <x:v>3</x:v>
      </x:c>
      <x:c r="C113" s="35" t="n">
        <x:f>$B$4+17</x:f>
        <x:v>46338</x:v>
      </x:c>
      <x:c r="D113" s="34" t="inlineStr">
        <x:is>
          <x:t xml:space="preserve">Thứ 5</x:t>
        </x:is>
      </x:c>
      <x:c r="E113" s="36" t="inlineStr">
        <x:is>
          <x:t xml:space="preserve">Nguyễn Mai Hoàng Anh</x:t>
        </x:is>
      </x:c>
      <x:c r="F113" s="36" t="inlineStr">
        <x:is>
          <x:t xml:space="preserve">DevOps — CI/CD + hạ tầng monitoring</x:t>
        </x:is>
      </x:c>
      <x:c r="G113" s="34" t="inlineStr">
        <x:is>
          <x:t xml:space="preserve">TASK-006</x:t>
        </x:is>
      </x:c>
      <x:c r="H113" s="36" t="inlineStr">
        <x:is>
          <x:t xml:space="preserve">feat/task-006-obs-stack</x:t>
        </x:is>
      </x:c>
      <x:c r="I113" s="34" t="n">
        <x:v>7</x:v>
      </x:c>
      <x:c r="J113" s="36" t="inlineStr">
        <x:is>
          <x:t xml:space="preserve">obs(grafana): enable trace-to-logs and derived fields</x:t>
        </x:is>
      </x:c>
      <x:c r="K113" s="36" t="inlineStr">
        <x:is>
          <x:t xml:space="preserve">Click trace sang log và ngược lại theo trace_id</x:t>
        </x:is>
      </x:c>
      <x:c r="L113" s="36" t="inlineStr">
        <x:is>
          <x:t xml:space="preserve">Công: trace_id trong log</x:t>
        </x:is>
      </x:c>
      <x:c r="M113" s="37" t="inlineStr">
        <x:is>
          <x:t xml:space="preserve">Todo</x:t>
        </x:is>
      </x:c>
      <x:c r="N113" s="38" t="n"/>
      <x:c r="O113" s="38" t="n"/>
    </x:row>
    <x:row r="114" s="25" customFormat="1" ht="23.850000381469727" customHeight="1">
      <x:c r="A114" s="34" t="inlineStr">
        <x:is>
          <x:t xml:space="preserve">C108</x:t>
        </x:is>
      </x:c>
      <x:c r="B114" s="34" t="n">
        <x:v>3</x:v>
      </x:c>
      <x:c r="C114" s="35" t="n">
        <x:f>$B$4+17</x:f>
        <x:v>46338</x:v>
      </x:c>
      <x:c r="D114" s="34" t="inlineStr">
        <x:is>
          <x:t xml:space="preserve">Thứ 5</x:t>
        </x:is>
      </x:c>
      <x:c r="E114" s="36" t="inlineStr">
        <x:is>
          <x:t xml:space="preserve">Nguyễn Mai Hoàng Anh</x:t>
        </x:is>
      </x:c>
      <x:c r="F114" s="36" t="inlineStr">
        <x:is>
          <x:t xml:space="preserve">DevOps — CI/CD + hạ tầng monitoring</x:t>
        </x:is>
      </x:c>
      <x:c r="G114" s="34" t="inlineStr">
        <x:is>
          <x:t xml:space="preserve">TASK-006</x:t>
        </x:is>
      </x:c>
      <x:c r="H114" s="36" t="inlineStr">
        <x:is>
          <x:t xml:space="preserve">feat/task-006-obs-stack</x:t>
        </x:is>
      </x:c>
      <x:c r="I114" s="34" t="n">
        <x:v>8</x:v>
      </x:c>
      <x:c r="J114" s="36" t="inlineStr">
        <x:is>
          <x:t xml:space="preserve">obs: add node-exporter and cAdvisor scrape jobs</x:t>
        </x:is>
      </x:c>
      <x:c r="K114" s="36" t="inlineStr">
        <x:is>
          <x:t xml:space="preserve">Metric CPU/RAM/disk của máy và container</x:t>
        </x:is>
      </x:c>
      <x:c r="L114" s="36" t="n"/>
      <x:c r="M114" s="37" t="inlineStr">
        <x:is>
          <x:t xml:space="preserve">Todo</x:t>
        </x:is>
      </x:c>
      <x:c r="N114" s="38" t="n"/>
      <x:c r="O114" s="38" t="n"/>
    </x:row>
    <x:row r="115" s="25" customFormat="1" ht="23.850000381469727" customHeight="1">
      <x:c r="A115" s="34" t="inlineStr">
        <x:is>
          <x:t xml:space="preserve">C109</x:t>
        </x:is>
      </x:c>
      <x:c r="B115" s="34" t="n">
        <x:v>3</x:v>
      </x:c>
      <x:c r="C115" s="35" t="n">
        <x:f>$B$4+18</x:f>
        <x:v>46339</x:v>
      </x:c>
      <x:c r="D115" s="34" t="inlineStr">
        <x:is>
          <x:t xml:space="preserve">Thứ 6</x:t>
        </x:is>
      </x:c>
      <x:c r="E115" s="36" t="inlineStr">
        <x:is>
          <x:t xml:space="preserve">Nguyễn Mai Hoàng Anh</x:t>
        </x:is>
      </x:c>
      <x:c r="F115" s="36" t="inlineStr">
        <x:is>
          <x:t xml:space="preserve">DevOps — CI/CD + hạ tầng monitoring</x:t>
        </x:is>
      </x:c>
      <x:c r="G115" s="34" t="inlineStr">
        <x:is>
          <x:t xml:space="preserve">TASK-006</x:t>
        </x:is>
      </x:c>
      <x:c r="H115" s="36" t="inlineStr">
        <x:is>
          <x:t xml:space="preserve">feat/task-006-obs-stack</x:t>
        </x:is>
      </x:c>
      <x:c r="I115" s="34" t="n">
        <x:v>9</x:v>
      </x:c>
      <x:c r="J115" s="36" t="inlineStr">
        <x:is>
          <x:t xml:space="preserve">obs: add blackbox exporter probing /health/ready</x:t>
        </x:is>
      </x:c>
      <x:c r="K115" s="36" t="inlineStr">
        <x:is>
          <x:t xml:space="preserve">Probe qua web, độc lập với tiến trình API (E16)</x:t>
        </x:is>
      </x:c>
      <x:c r="L115" s="36" t="n"/>
      <x:c r="M115" s="37" t="inlineStr">
        <x:is>
          <x:t xml:space="preserve">Todo</x:t>
        </x:is>
      </x:c>
      <x:c r="N115" s="38" t="n"/>
      <x:c r="O115" s="38" t="n"/>
    </x:row>
    <x:row r="116" s="25" customFormat="1" ht="23.850000381469727" customHeight="1">
      <x:c r="A116" s="34" t="inlineStr">
        <x:is>
          <x:t xml:space="preserve">C110</x:t>
        </x:is>
      </x:c>
      <x:c r="B116" s="34" t="n">
        <x:v>3</x:v>
      </x:c>
      <x:c r="C116" s="35" t="n">
        <x:f>$B$4+18</x:f>
        <x:v>46339</x:v>
      </x:c>
      <x:c r="D116" s="34" t="inlineStr">
        <x:is>
          <x:t xml:space="preserve">Thứ 6</x:t>
        </x:is>
      </x:c>
      <x:c r="E116" s="36" t="inlineStr">
        <x:is>
          <x:t xml:space="preserve">Nguyễn Mai Hoàng Anh</x:t>
        </x:is>
      </x:c>
      <x:c r="F116" s="36" t="inlineStr">
        <x:is>
          <x:t xml:space="preserve">DevOps — CI/CD + hạ tầng monitoring</x:t>
        </x:is>
      </x:c>
      <x:c r="G116" s="34" t="inlineStr">
        <x:is>
          <x:t xml:space="preserve">TASK-006</x:t>
        </x:is>
      </x:c>
      <x:c r="H116" s="36" t="inlineStr">
        <x:is>
          <x:t xml:space="preserve">feat/task-006-obs-stack</x:t>
        </x:is>
      </x:c>
      <x:c r="I116" s="34" t="n">
        <x:v>10</x:v>
      </x:c>
      <x:c r="J116" s="36" t="inlineStr">
        <x:is>
          <x:t xml:space="preserve">ci: validate collector and prometheus configs</x:t>
        </x:is>
      </x:c>
      <x:c r="K116" s="36" t="inlineStr">
        <x:is>
          <x:t xml:space="preserve">otelcol validate + promtool check config trong CI</x:t>
        </x:is>
      </x:c>
      <x:c r="L116" s="36" t="n"/>
      <x:c r="M116" s="37" t="inlineStr">
        <x:is>
          <x:t xml:space="preserve">Todo</x:t>
        </x:is>
      </x:c>
      <x:c r="N116" s="38" t="n"/>
      <x:c r="O116" s="38" t="n"/>
    </x:row>
    <x:row r="117" s="25" customFormat="1" ht="23.850000381469727" customHeight="1">
      <x:c r="A117" s="34" t="inlineStr">
        <x:is>
          <x:t xml:space="preserve">C111</x:t>
        </x:is>
      </x:c>
      <x:c r="B117" s="34" t="n">
        <x:v>3</x:v>
      </x:c>
      <x:c r="C117" s="35" t="n">
        <x:f>$B$4+14</x:f>
        <x:v>46335</x:v>
      </x:c>
      <x:c r="D117" s="34" t="inlineStr">
        <x:is>
          <x:t xml:space="preserve">Thứ 2</x:t>
        </x:is>
      </x:c>
      <x:c r="E117" s="36" t="inlineStr">
        <x:is>
          <x:t xml:space="preserve">Phạm Minh Cương</x:t>
        </x:is>
      </x:c>
      <x:c r="F117" s="36" t="inlineStr">
        <x:is>
          <x:t xml:space="preserve">Backend + kiến trúc</x:t>
        </x:is>
      </x:c>
      <x:c r="G117" s="34" t="inlineStr">
        <x:is>
          <x:t xml:space="preserve">TASK-006</x:t>
        </x:is>
      </x:c>
      <x:c r="H117" s="36" t="inlineStr">
        <x:is>
          <x:t xml:space="preserve">feat/task-006-business-telemetry</x:t>
        </x:is>
      </x:c>
      <x:c r="I117" s="34" t="n">
        <x:v>1</x:v>
      </x:c>
      <x:c r="J117" s="36" t="inlineStr">
        <x:is>
          <x:t xml:space="preserve">feat(telemetry): add spans for booking.create and booking.cancel</x:t>
        </x:is>
      </x:c>
      <x:c r="K117" s="36" t="inlineStr">
        <x:is>
          <x:t xml:space="preserve">Pair với Công</x:t>
        </x:is>
      </x:c>
      <x:c r="L117" s="36" t="inlineStr">
        <x:is>
          <x:t xml:space="preserve">Công: telemetry module (T1)</x:t>
        </x:is>
      </x:c>
      <x:c r="M117" s="37" t="inlineStr">
        <x:is>
          <x:t xml:space="preserve">Todo</x:t>
        </x:is>
      </x:c>
      <x:c r="N117" s="38" t="n"/>
      <x:c r="O117" s="38" t="n"/>
    </x:row>
    <x:row r="118" s="25" customFormat="1" ht="15" customHeight="1">
      <x:c r="A118" s="34" t="inlineStr">
        <x:is>
          <x:t xml:space="preserve">C112</x:t>
        </x:is>
      </x:c>
      <x:c r="B118" s="34" t="n">
        <x:v>3</x:v>
      </x:c>
      <x:c r="C118" s="35" t="n">
        <x:f>$B$4+14</x:f>
        <x:v>46335</x:v>
      </x:c>
      <x:c r="D118" s="34" t="inlineStr">
        <x:is>
          <x:t xml:space="preserve">Thứ 2</x:t>
        </x:is>
      </x:c>
      <x:c r="E118" s="36" t="inlineStr">
        <x:is>
          <x:t xml:space="preserve">Phạm Minh Cương</x:t>
        </x:is>
      </x:c>
      <x:c r="F118" s="36" t="inlineStr">
        <x:is>
          <x:t xml:space="preserve">Backend + kiến trúc</x:t>
        </x:is>
      </x:c>
      <x:c r="G118" s="34" t="inlineStr">
        <x:is>
          <x:t xml:space="preserve">TASK-006</x:t>
        </x:is>
      </x:c>
      <x:c r="H118" s="36" t="inlineStr">
        <x:is>
          <x:t xml:space="preserve">feat/task-006-business-telemetry</x:t>
        </x:is>
      </x:c>
      <x:c r="I118" s="34" t="n">
        <x:v>2</x:v>
      </x:c>
      <x:c r="J118" s="36" t="inlineStr">
        <x:is>
          <x:t xml:space="preserve">feat(metrics): add booking_conflicts_total counter</x:t>
        </x:is>
      </x:c>
      <x:c r="K118" s="36" t="inlineStr">
        <x:is>
          <x:t xml:space="preserve">Tăng khi trả 409</x:t>
        </x:is>
      </x:c>
      <x:c r="L118" s="36" t="n"/>
      <x:c r="M118" s="37" t="inlineStr">
        <x:is>
          <x:t xml:space="preserve">Todo</x:t>
        </x:is>
      </x:c>
      <x:c r="N118" s="38" t="n"/>
      <x:c r="O118" s="38" t="n"/>
    </x:row>
    <x:row r="119" s="25" customFormat="1" ht="15" customHeight="1">
      <x:c r="A119" s="34" t="inlineStr">
        <x:is>
          <x:t xml:space="preserve">C113</x:t>
        </x:is>
      </x:c>
      <x:c r="B119" s="34" t="n">
        <x:v>3</x:v>
      </x:c>
      <x:c r="C119" s="35" t="n">
        <x:f>$B$4+15</x:f>
        <x:v>46336</x:v>
      </x:c>
      <x:c r="D119" s="34" t="inlineStr">
        <x:is>
          <x:t xml:space="preserve">Thứ 3</x:t>
        </x:is>
      </x:c>
      <x:c r="E119" s="36" t="inlineStr">
        <x:is>
          <x:t xml:space="preserve">Phạm Minh Cương</x:t>
        </x:is>
      </x:c>
      <x:c r="F119" s="36" t="inlineStr">
        <x:is>
          <x:t xml:space="preserve">Backend + kiến trúc</x:t>
        </x:is>
      </x:c>
      <x:c r="G119" s="34" t="inlineStr">
        <x:is>
          <x:t xml:space="preserve">TASK-006</x:t>
        </x:is>
      </x:c>
      <x:c r="H119" s="36" t="inlineStr">
        <x:is>
          <x:t xml:space="preserve">feat/task-006-business-telemetry</x:t>
        </x:is>
      </x:c>
      <x:c r="I119" s="34" t="n">
        <x:v>3</x:v>
      </x:c>
      <x:c r="J119" s="36" t="inlineStr">
        <x:is>
          <x:t xml:space="preserve">test(metrics): conflict counter increments on 409</x:t>
        </x:is>
      </x:c>
      <x:c r="K119" s="36" t="inlineStr">
        <x:is>
          <x:t xml:space="preserve">In-memory metric reader</x:t>
        </x:is>
      </x:c>
      <x:c r="L119" s="36" t="n"/>
      <x:c r="M119" s="37" t="inlineStr">
        <x:is>
          <x:t xml:space="preserve">Todo</x:t>
        </x:is>
      </x:c>
      <x:c r="N119" s="38" t="n"/>
      <x:c r="O119" s="38" t="n"/>
    </x:row>
    <x:row r="120" s="25" customFormat="1" ht="15" customHeight="1">
      <x:c r="A120" s="34" t="inlineStr">
        <x:is>
          <x:t xml:space="preserve">C114</x:t>
        </x:is>
      </x:c>
      <x:c r="B120" s="34" t="n">
        <x:v>3</x:v>
      </x:c>
      <x:c r="C120" s="35" t="n">
        <x:f>$B$4+15</x:f>
        <x:v>46336</x:v>
      </x:c>
      <x:c r="D120" s="34" t="inlineStr">
        <x:is>
          <x:t xml:space="preserve">Thứ 3</x:t>
        </x:is>
      </x:c>
      <x:c r="E120" s="36" t="inlineStr">
        <x:is>
          <x:t xml:space="preserve">Phạm Minh Cương</x:t>
        </x:is>
      </x:c>
      <x:c r="F120" s="36" t="inlineStr">
        <x:is>
          <x:t xml:space="preserve">Backend + kiến trúc</x:t>
        </x:is>
      </x:c>
      <x:c r="G120" s="34" t="inlineStr">
        <x:is>
          <x:t xml:space="preserve">TASK-006</x:t>
        </x:is>
      </x:c>
      <x:c r="H120" s="36" t="inlineStr">
        <x:is>
          <x:t xml:space="preserve">feat/task-006-business-telemetry</x:t>
        </x:is>
      </x:c>
      <x:c r="I120" s="34" t="n">
        <x:v>4</x:v>
      </x:c>
      <x:c r="J120" s="36" t="inlineStr">
        <x:is>
          <x:t xml:space="preserve">feat(logging): inject trace_id and span_id into JSON logs</x:t>
        </x:is>
      </x:c>
      <x:c r="K120" s="36" t="inlineStr">
        <x:is>
          <x:t xml:space="preserve">Nối log với trace</x:t>
        </x:is>
      </x:c>
      <x:c r="L120" s="36" t="n"/>
      <x:c r="M120" s="37" t="inlineStr">
        <x:is>
          <x:t xml:space="preserve">Todo</x:t>
        </x:is>
      </x:c>
      <x:c r="N120" s="38" t="n"/>
      <x:c r="O120" s="38" t="n"/>
    </x:row>
    <x:row r="121" s="25" customFormat="1" ht="15" customHeight="1">
      <x:c r="A121" s="34" t="inlineStr">
        <x:is>
          <x:t xml:space="preserve">C115</x:t>
        </x:is>
      </x:c>
      <x:c r="B121" s="34" t="n">
        <x:v>3</x:v>
      </x:c>
      <x:c r="C121" s="35" t="n">
        <x:f>$B$4+16</x:f>
        <x:v>46337</x:v>
      </x:c>
      <x:c r="D121" s="34" t="inlineStr">
        <x:is>
          <x:t xml:space="preserve">Thứ 4</x:t>
        </x:is>
      </x:c>
      <x:c r="E121" s="36" t="inlineStr">
        <x:is>
          <x:t xml:space="preserve">Phạm Minh Cương</x:t>
        </x:is>
      </x:c>
      <x:c r="F121" s="36" t="inlineStr">
        <x:is>
          <x:t xml:space="preserve">Backend + kiến trúc</x:t>
        </x:is>
      </x:c>
      <x:c r="G121" s="34" t="inlineStr">
        <x:is>
          <x:t xml:space="preserve">TASK-006</x:t>
        </x:is>
      </x:c>
      <x:c r="H121" s="36" t="inlineStr">
        <x:is>
          <x:t xml:space="preserve">feat/task-006-business-telemetry</x:t>
        </x:is>
      </x:c>
      <x:c r="I121" s="34" t="n">
        <x:v>5</x:v>
      </x:c>
      <x:c r="J121" s="36" t="inlineStr">
        <x:is>
          <x:t xml:space="preserve">test(logging): trace_id present in log records</x:t>
        </x:is>
      </x:c>
      <x:c r="K121" s="36" t="n"/>
      <x:c r="L121" s="36" t="n"/>
      <x:c r="M121" s="37" t="inlineStr">
        <x:is>
          <x:t xml:space="preserve">Todo</x:t>
        </x:is>
      </x:c>
      <x:c r="N121" s="38" t="n"/>
      <x:c r="O121" s="38" t="n"/>
    </x:row>
    <x:row r="122" s="25" customFormat="1" ht="15" customHeight="1">
      <x:c r="A122" s="34" t="inlineStr">
        <x:is>
          <x:t xml:space="preserve">C116</x:t>
        </x:is>
      </x:c>
      <x:c r="B122" s="34" t="n">
        <x:v>3</x:v>
      </x:c>
      <x:c r="C122" s="35" t="n">
        <x:f>$B$4+16</x:f>
        <x:v>46337</x:v>
      </x:c>
      <x:c r="D122" s="34" t="inlineStr">
        <x:is>
          <x:t xml:space="preserve">Thứ 4</x:t>
        </x:is>
      </x:c>
      <x:c r="E122" s="36" t="inlineStr">
        <x:is>
          <x:t xml:space="preserve">Phạm Minh Cương</x:t>
        </x:is>
      </x:c>
      <x:c r="F122" s="36" t="inlineStr">
        <x:is>
          <x:t xml:space="preserve">Backend + kiến trúc</x:t>
        </x:is>
      </x:c>
      <x:c r="G122" s="34" t="inlineStr">
        <x:is>
          <x:t xml:space="preserve">TASK-006</x:t>
        </x:is>
      </x:c>
      <x:c r="H122" s="36" t="inlineStr">
        <x:is>
          <x:t xml:space="preserve">feat/task-006-business-telemetry</x:t>
        </x:is>
      </x:c>
      <x:c r="I122" s="34" t="n">
        <x:v>6</x:v>
      </x:c>
      <x:c r="J122" s="36" t="inlineStr">
        <x:is>
          <x:t xml:space="preserve">feat(api): return traceparent header in responses</x:t>
        </x:is>
      </x:c>
      <x:c r="K122" s="36" t="inlineStr">
        <x:is>
          <x:t xml:space="preserve">UI hiển thị được trace id khi lỗi</x:t>
        </x:is>
      </x:c>
      <x:c r="L122" s="36" t="n"/>
      <x:c r="M122" s="37" t="inlineStr">
        <x:is>
          <x:t xml:space="preserve">Todo</x:t>
        </x:is>
      </x:c>
      <x:c r="N122" s="38" t="n"/>
      <x:c r="O122" s="38" t="n"/>
    </x:row>
    <x:row r="123" s="25" customFormat="1" ht="15" customHeight="1">
      <x:c r="A123" s="34" t="inlineStr">
        <x:is>
          <x:t xml:space="preserve">C117</x:t>
        </x:is>
      </x:c>
      <x:c r="B123" s="34" t="n">
        <x:v>3</x:v>
      </x:c>
      <x:c r="C123" s="35" t="n">
        <x:f>$B$4+17</x:f>
        <x:v>46338</x:v>
      </x:c>
      <x:c r="D123" s="34" t="inlineStr">
        <x:is>
          <x:t xml:space="preserve">Thứ 5</x:t>
        </x:is>
      </x:c>
      <x:c r="E123" s="36" t="inlineStr">
        <x:is>
          <x:t xml:space="preserve">Phạm Minh Cương</x:t>
        </x:is>
      </x:c>
      <x:c r="F123" s="36" t="inlineStr">
        <x:is>
          <x:t xml:space="preserve">Backend + kiến trúc</x:t>
        </x:is>
      </x:c>
      <x:c r="G123" s="34" t="inlineStr">
        <x:is>
          <x:t xml:space="preserve">TASK-006</x:t>
        </x:is>
      </x:c>
      <x:c r="H123" s="36" t="inlineStr">
        <x:is>
          <x:t xml:space="preserve">feat/task-006-business-telemetry</x:t>
        </x:is>
      </x:c>
      <x:c r="I123" s="34" t="n">
        <x:v>7</x:v>
      </x:c>
      <x:c r="J123" s="36" t="inlineStr">
        <x:is>
          <x:t xml:space="preserve">fix(api): map unexpected DB errors to 503 with telemetry</x:t>
        </x:is>
      </x:c>
      <x:c r="K123" s="36" t="inlineStr">
        <x:is>
          <x:t xml:space="preserve">Lỗi DB ghi span status error</x:t>
        </x:is>
      </x:c>
      <x:c r="L123" s="36" t="n"/>
      <x:c r="M123" s="37" t="inlineStr">
        <x:is>
          <x:t xml:space="preserve">Todo</x:t>
        </x:is>
      </x:c>
      <x:c r="N123" s="38" t="n"/>
      <x:c r="O123" s="38" t="n"/>
    </x:row>
    <x:row r="124" s="25" customFormat="1" ht="15" customHeight="1">
      <x:c r="A124" s="34" t="inlineStr">
        <x:is>
          <x:t xml:space="preserve">C118</x:t>
        </x:is>
      </x:c>
      <x:c r="B124" s="34" t="n">
        <x:v>3</x:v>
      </x:c>
      <x:c r="C124" s="35" t="n">
        <x:f>$B$4+17</x:f>
        <x:v>46338</x:v>
      </x:c>
      <x:c r="D124" s="34" t="inlineStr">
        <x:is>
          <x:t xml:space="preserve">Thứ 5</x:t>
        </x:is>
      </x:c>
      <x:c r="E124" s="36" t="inlineStr">
        <x:is>
          <x:t xml:space="preserve">Phạm Minh Cương</x:t>
        </x:is>
      </x:c>
      <x:c r="F124" s="36" t="inlineStr">
        <x:is>
          <x:t xml:space="preserve">Backend + kiến trúc</x:t>
        </x:is>
      </x:c>
      <x:c r="G124" s="34" t="inlineStr">
        <x:is>
          <x:t xml:space="preserve">TASK-006</x:t>
        </x:is>
      </x:c>
      <x:c r="H124" s="36" t="inlineStr">
        <x:is>
          <x:t xml:space="preserve">feat/task-006-business-telemetry</x:t>
        </x:is>
      </x:c>
      <x:c r="I124" s="34" t="n">
        <x:v>8</x:v>
      </x:c>
      <x:c r="J124" s="36" t="inlineStr">
        <x:is>
          <x:t xml:space="preserve">test(api): cover DB error mapping</x:t>
        </x:is>
      </x:c>
      <x:c r="K124" s="36" t="n"/>
      <x:c r="L124" s="36" t="n"/>
      <x:c r="M124" s="37" t="inlineStr">
        <x:is>
          <x:t xml:space="preserve">Todo</x:t>
        </x:is>
      </x:c>
      <x:c r="N124" s="38" t="n"/>
      <x:c r="O124" s="38" t="n"/>
    </x:row>
    <x:row r="125" s="25" customFormat="1" ht="15" customHeight="1">
      <x:c r="A125" s="34" t="inlineStr">
        <x:is>
          <x:t xml:space="preserve">C119</x:t>
        </x:is>
      </x:c>
      <x:c r="B125" s="34" t="n">
        <x:v>3</x:v>
      </x:c>
      <x:c r="C125" s="35" t="n">
        <x:f>$B$4+18</x:f>
        <x:v>46339</x:v>
      </x:c>
      <x:c r="D125" s="34" t="inlineStr">
        <x:is>
          <x:t xml:space="preserve">Thứ 6</x:t>
        </x:is>
      </x:c>
      <x:c r="E125" s="36" t="inlineStr">
        <x:is>
          <x:t xml:space="preserve">Phạm Minh Cương</x:t>
        </x:is>
      </x:c>
      <x:c r="F125" s="36" t="inlineStr">
        <x:is>
          <x:t xml:space="preserve">Backend + kiến trúc</x:t>
        </x:is>
      </x:c>
      <x:c r="G125" s="34" t="inlineStr">
        <x:is>
          <x:t xml:space="preserve">TASK-006</x:t>
        </x:is>
      </x:c>
      <x:c r="H125" s="36" t="inlineStr">
        <x:is>
          <x:t xml:space="preserve">feat/task-006-business-telemetry</x:t>
        </x:is>
      </x:c>
      <x:c r="I125" s="34" t="n">
        <x:v>9</x:v>
      </x:c>
      <x:c r="J125" s="36" t="inlineStr">
        <x:is>
          <x:t xml:space="preserve">chore: add migration checklist to PR template</x:t>
        </x:is>
      </x:c>
      <x:c r="K125" s="36" t="inlineStr">
        <x:is>
          <x:t xml:space="preserve">Theo migration-policy.md</x:t>
        </x:is>
      </x:c>
      <x:c r="L125" s="36" t="n"/>
      <x:c r="M125" s="37" t="inlineStr">
        <x:is>
          <x:t xml:space="preserve">Todo</x:t>
        </x:is>
      </x:c>
      <x:c r="N125" s="38" t="n"/>
      <x:c r="O125" s="38" t="n"/>
    </x:row>
    <x:row r="126" s="25" customFormat="1" ht="15" customHeight="1">
      <x:c r="A126" s="34" t="inlineStr">
        <x:is>
          <x:t xml:space="preserve">C120</x:t>
        </x:is>
      </x:c>
      <x:c r="B126" s="34" t="n">
        <x:v>3</x:v>
      </x:c>
      <x:c r="C126" s="35" t="n">
        <x:f>$B$4+18</x:f>
        <x:v>46339</x:v>
      </x:c>
      <x:c r="D126" s="34" t="inlineStr">
        <x:is>
          <x:t xml:space="preserve">Thứ 6</x:t>
        </x:is>
      </x:c>
      <x:c r="E126" s="36" t="inlineStr">
        <x:is>
          <x:t xml:space="preserve">Phạm Minh Cương</x:t>
        </x:is>
      </x:c>
      <x:c r="F126" s="36" t="inlineStr">
        <x:is>
          <x:t xml:space="preserve">Backend + kiến trúc</x:t>
        </x:is>
      </x:c>
      <x:c r="G126" s="34" t="inlineStr">
        <x:is>
          <x:t xml:space="preserve">TASK-006</x:t>
        </x:is>
      </x:c>
      <x:c r="H126" s="36" t="inlineStr">
        <x:is>
          <x:t xml:space="preserve">feat/task-006-business-telemetry</x:t>
        </x:is>
      </x:c>
      <x:c r="I126" s="34" t="n">
        <x:v>10</x:v>
      </x:c>
      <x:c r="J126" s="36" t="inlineStr">
        <x:is>
          <x:t xml:space="preserve">docs(architecture): update API contract in architecture context</x:t>
        </x:is>
      </x:c>
      <x:c r="K126" s="36" t="inlineStr">
        <x:is>
          <x:t xml:space="preserve">Thêm header và version mới</x:t>
        </x:is>
      </x:c>
      <x:c r="L126" s="36" t="n"/>
      <x:c r="M126" s="37" t="inlineStr">
        <x:is>
          <x:t xml:space="preserve">Todo</x:t>
        </x:is>
      </x:c>
      <x:c r="N126" s="38" t="n"/>
      <x:c r="O126" s="38" t="n"/>
    </x:row>
    <x:row r="127" s="25" customFormat="1" ht="15" customHeight="1">
      <x:c r="A127" s="34" t="inlineStr">
        <x:is>
          <x:t xml:space="preserve">C121</x:t>
        </x:is>
      </x:c>
      <x:c r="B127" s="34" t="n">
        <x:v>3</x:v>
      </x:c>
      <x:c r="C127" s="35" t="n">
        <x:f>$B$4+14</x:f>
        <x:v>46335</x:v>
      </x:c>
      <x:c r="D127" s="34" t="inlineStr">
        <x:is>
          <x:t xml:space="preserve">Thứ 2</x:t>
        </x:is>
      </x:c>
      <x:c r="E127" s="36" t="inlineStr">
        <x:is>
          <x:t xml:space="preserve">Lê Văn Cường</x:t>
        </x:is>
      </x:c>
      <x:c r="F127" s="36" t="inlineStr">
        <x:is>
          <x:t xml:space="preserve">Frontend + E2E</x:t>
        </x:is>
      </x:c>
      <x:c r="G127" s="34" t="inlineStr">
        <x:is>
          <x:t xml:space="preserve">TASK-003</x:t>
        </x:is>
      </x:c>
      <x:c r="H127" s="36" t="inlineStr">
        <x:is>
          <x:t xml:space="preserve">test/task-003-e2e</x:t>
        </x:is>
      </x:c>
      <x:c r="I127" s="34" t="n">
        <x:v>1</x:v>
      </x:c>
      <x:c r="J127" s="36" t="inlineStr">
        <x:is>
          <x:t xml:space="preserve">build(deploy): add web service to local compose</x:t>
        </x:is>
      </x:c>
      <x:c r="K127" s="36" t="inlineStr">
        <x:is>
          <x:t xml:space="preserve">Phối hợp Hoàng Anh</x:t>
        </x:is>
      </x:c>
      <x:c r="L127" s="36" t="n"/>
      <x:c r="M127" s="37" t="inlineStr">
        <x:is>
          <x:t xml:space="preserve">Todo</x:t>
        </x:is>
      </x:c>
      <x:c r="N127" s="38" t="n"/>
      <x:c r="O127" s="38" t="n"/>
    </x:row>
    <x:row r="128" s="25" customFormat="1" ht="15" customHeight="1">
      <x:c r="A128" s="34" t="inlineStr">
        <x:is>
          <x:t xml:space="preserve">C122</x:t>
        </x:is>
      </x:c>
      <x:c r="B128" s="34" t="n">
        <x:v>3</x:v>
      </x:c>
      <x:c r="C128" s="35" t="n">
        <x:f>$B$4+14</x:f>
        <x:v>46335</x:v>
      </x:c>
      <x:c r="D128" s="34" t="inlineStr">
        <x:is>
          <x:t xml:space="preserve">Thứ 2</x:t>
        </x:is>
      </x:c>
      <x:c r="E128" s="36" t="inlineStr">
        <x:is>
          <x:t xml:space="preserve">Lê Văn Cường</x:t>
        </x:is>
      </x:c>
      <x:c r="F128" s="36" t="inlineStr">
        <x:is>
          <x:t xml:space="preserve">Frontend + E2E</x:t>
        </x:is>
      </x:c>
      <x:c r="G128" s="34" t="inlineStr">
        <x:is>
          <x:t xml:space="preserve">TASK-003</x:t>
        </x:is>
      </x:c>
      <x:c r="H128" s="36" t="inlineStr">
        <x:is>
          <x:t xml:space="preserve">test/task-003-e2e</x:t>
        </x:is>
      </x:c>
      <x:c r="I128" s="34" t="n">
        <x:v>2</x:v>
      </x:c>
      <x:c r="J128" s="36" t="inlineStr">
        <x:is>
          <x:t xml:space="preserve">test(e2e): set up Playwright</x:t>
        </x:is>
      </x:c>
      <x:c r="K128" s="36" t="n"/>
      <x:c r="L128" s="36" t="n"/>
      <x:c r="M128" s="37" t="inlineStr">
        <x:is>
          <x:t xml:space="preserve">Todo</x:t>
        </x:is>
      </x:c>
      <x:c r="N128" s="38" t="n"/>
      <x:c r="O128" s="38" t="n"/>
    </x:row>
    <x:row r="129" s="25" customFormat="1" ht="15" customHeight="1">
      <x:c r="A129" s="34" t="inlineStr">
        <x:is>
          <x:t xml:space="preserve">C123</x:t>
        </x:is>
      </x:c>
      <x:c r="B129" s="34" t="n">
        <x:v>3</x:v>
      </x:c>
      <x:c r="C129" s="35" t="n">
        <x:f>$B$4+15</x:f>
        <x:v>46336</x:v>
      </x:c>
      <x:c r="D129" s="34" t="inlineStr">
        <x:is>
          <x:t xml:space="preserve">Thứ 3</x:t>
        </x:is>
      </x:c>
      <x:c r="E129" s="36" t="inlineStr">
        <x:is>
          <x:t xml:space="preserve">Lê Văn Cường</x:t>
        </x:is>
      </x:c>
      <x:c r="F129" s="36" t="inlineStr">
        <x:is>
          <x:t xml:space="preserve">Frontend + E2E</x:t>
        </x:is>
      </x:c>
      <x:c r="G129" s="34" t="inlineStr">
        <x:is>
          <x:t xml:space="preserve">TASK-003</x:t>
        </x:is>
      </x:c>
      <x:c r="H129" s="36" t="inlineStr">
        <x:is>
          <x:t xml:space="preserve">test/task-003-e2e</x:t>
        </x:is>
      </x:c>
      <x:c r="I129" s="34" t="n">
        <x:v>3</x:v>
      </x:c>
      <x:c r="J129" s="36" t="inlineStr">
        <x:is>
          <x:t xml:space="preserve">test(e2e): view available slots</x:t>
        </x:is>
      </x:c>
      <x:c r="K129" s="36" t="n"/>
      <x:c r="L129" s="36" t="n"/>
      <x:c r="M129" s="37" t="inlineStr">
        <x:is>
          <x:t xml:space="preserve">Todo</x:t>
        </x:is>
      </x:c>
      <x:c r="N129" s="38" t="n"/>
      <x:c r="O129" s="38" t="n"/>
    </x:row>
    <x:row r="130" s="25" customFormat="1" ht="15" customHeight="1">
      <x:c r="A130" s="34" t="inlineStr">
        <x:is>
          <x:t xml:space="preserve">C124</x:t>
        </x:is>
      </x:c>
      <x:c r="B130" s="34" t="n">
        <x:v>3</x:v>
      </x:c>
      <x:c r="C130" s="35" t="n">
        <x:f>$B$4+15</x:f>
        <x:v>46336</x:v>
      </x:c>
      <x:c r="D130" s="34" t="inlineStr">
        <x:is>
          <x:t xml:space="preserve">Thứ 3</x:t>
        </x:is>
      </x:c>
      <x:c r="E130" s="36" t="inlineStr">
        <x:is>
          <x:t xml:space="preserve">Lê Văn Cường</x:t>
        </x:is>
      </x:c>
      <x:c r="F130" s="36" t="inlineStr">
        <x:is>
          <x:t xml:space="preserve">Frontend + E2E</x:t>
        </x:is>
      </x:c>
      <x:c r="G130" s="34" t="inlineStr">
        <x:is>
          <x:t xml:space="preserve">TASK-003</x:t>
        </x:is>
      </x:c>
      <x:c r="H130" s="36" t="inlineStr">
        <x:is>
          <x:t xml:space="preserve">test/task-003-e2e</x:t>
        </x:is>
      </x:c>
      <x:c r="I130" s="34" t="n">
        <x:v>4</x:v>
      </x:c>
      <x:c r="J130" s="36" t="inlineStr">
        <x:is>
          <x:t xml:space="preserve">test(e2e): book a slot and see it in the list</x:t>
        </x:is>
      </x:c>
      <x:c r="K130" s="36" t="n"/>
      <x:c r="L130" s="36" t="n"/>
      <x:c r="M130" s="37" t="inlineStr">
        <x:is>
          <x:t xml:space="preserve">Todo</x:t>
        </x:is>
      </x:c>
      <x:c r="N130" s="38" t="n"/>
      <x:c r="O130" s="38" t="n"/>
    </x:row>
    <x:row r="131" s="25" customFormat="1" ht="15" customHeight="1">
      <x:c r="A131" s="34" t="inlineStr">
        <x:is>
          <x:t xml:space="preserve">C125</x:t>
        </x:is>
      </x:c>
      <x:c r="B131" s="34" t="n">
        <x:v>3</x:v>
      </x:c>
      <x:c r="C131" s="35" t="n">
        <x:f>$B$4+16</x:f>
        <x:v>46337</x:v>
      </x:c>
      <x:c r="D131" s="34" t="inlineStr">
        <x:is>
          <x:t xml:space="preserve">Thứ 4</x:t>
        </x:is>
      </x:c>
      <x:c r="E131" s="36" t="inlineStr">
        <x:is>
          <x:t xml:space="preserve">Lê Văn Cường</x:t>
        </x:is>
      </x:c>
      <x:c r="F131" s="36" t="inlineStr">
        <x:is>
          <x:t xml:space="preserve">Frontend + E2E</x:t>
        </x:is>
      </x:c>
      <x:c r="G131" s="34" t="inlineStr">
        <x:is>
          <x:t xml:space="preserve">TASK-003</x:t>
        </x:is>
      </x:c>
      <x:c r="H131" s="36" t="inlineStr">
        <x:is>
          <x:t xml:space="preserve">test/task-003-e2e</x:t>
        </x:is>
      </x:c>
      <x:c r="I131" s="34" t="n">
        <x:v>5</x:v>
      </x:c>
      <x:c r="J131" s="36" t="inlineStr">
        <x:is>
          <x:t xml:space="preserve">test(e2e): cancel a booking</x:t>
        </x:is>
      </x:c>
      <x:c r="K131" s="36" t="n"/>
      <x:c r="L131" s="36" t="n"/>
      <x:c r="M131" s="37" t="inlineStr">
        <x:is>
          <x:t xml:space="preserve">Todo</x:t>
        </x:is>
      </x:c>
      <x:c r="N131" s="38" t="n"/>
      <x:c r="O131" s="38" t="n"/>
    </x:row>
    <x:row r="132" s="25" customFormat="1" ht="15" customHeight="1">
      <x:c r="A132" s="34" t="inlineStr">
        <x:is>
          <x:t xml:space="preserve">C126</x:t>
        </x:is>
      </x:c>
      <x:c r="B132" s="34" t="n">
        <x:v>3</x:v>
      </x:c>
      <x:c r="C132" s="35" t="n">
        <x:f>$B$4+16</x:f>
        <x:v>46337</x:v>
      </x:c>
      <x:c r="D132" s="34" t="inlineStr">
        <x:is>
          <x:t xml:space="preserve">Thứ 4</x:t>
        </x:is>
      </x:c>
      <x:c r="E132" s="36" t="inlineStr">
        <x:is>
          <x:t xml:space="preserve">Lê Văn Cường</x:t>
        </x:is>
      </x:c>
      <x:c r="F132" s="36" t="inlineStr">
        <x:is>
          <x:t xml:space="preserve">Frontend + E2E</x:t>
        </x:is>
      </x:c>
      <x:c r="G132" s="34" t="inlineStr">
        <x:is>
          <x:t xml:space="preserve">TASK-003</x:t>
        </x:is>
      </x:c>
      <x:c r="H132" s="36" t="inlineStr">
        <x:is>
          <x:t xml:space="preserve">test/task-003-e2e</x:t>
        </x:is>
      </x:c>
      <x:c r="I132" s="34" t="n">
        <x:v>6</x:v>
      </x:c>
      <x:c r="J132" s="36" t="inlineStr">
        <x:is>
          <x:t xml:space="preserve">test(e2e): show conflict when slot already taken</x:t>
        </x:is>
      </x:c>
      <x:c r="K132" s="36" t="n"/>
      <x:c r="L132" s="36" t="n"/>
      <x:c r="M132" s="37" t="inlineStr">
        <x:is>
          <x:t xml:space="preserve">Todo</x:t>
        </x:is>
      </x:c>
      <x:c r="N132" s="38" t="n"/>
      <x:c r="O132" s="38" t="n"/>
    </x:row>
    <x:row r="133" s="25" customFormat="1" ht="15" customHeight="1">
      <x:c r="A133" s="34" t="inlineStr">
        <x:is>
          <x:t xml:space="preserve">C127</x:t>
        </x:is>
      </x:c>
      <x:c r="B133" s="34" t="n">
        <x:v>3</x:v>
      </x:c>
      <x:c r="C133" s="35" t="n">
        <x:f>$B$4+17</x:f>
        <x:v>46338</x:v>
      </x:c>
      <x:c r="D133" s="34" t="inlineStr">
        <x:is>
          <x:t xml:space="preserve">Thứ 5</x:t>
        </x:is>
      </x:c>
      <x:c r="E133" s="36" t="inlineStr">
        <x:is>
          <x:t xml:space="preserve">Lê Văn Cường</x:t>
        </x:is>
      </x:c>
      <x:c r="F133" s="36" t="inlineStr">
        <x:is>
          <x:t xml:space="preserve">Frontend + E2E</x:t>
        </x:is>
      </x:c>
      <x:c r="G133" s="34" t="inlineStr">
        <x:is>
          <x:t xml:space="preserve">TASK-003</x:t>
        </x:is>
      </x:c>
      <x:c r="H133" s="36" t="inlineStr">
        <x:is>
          <x:t xml:space="preserve">test/task-003-e2e</x:t>
        </x:is>
      </x:c>
      <x:c r="I133" s="34" t="n">
        <x:v>7</x:v>
      </x:c>
      <x:c r="J133" s="36" t="inlineStr">
        <x:is>
          <x:t xml:space="preserve">ci: add frontend lint, test and build job</x:t>
        </x:is>
      </x:c>
      <x:c r="K133" s="36" t="n"/>
      <x:c r="L133" s="36" t="n"/>
      <x:c r="M133" s="37" t="inlineStr">
        <x:is>
          <x:t xml:space="preserve">Todo</x:t>
        </x:is>
      </x:c>
      <x:c r="N133" s="38" t="n"/>
      <x:c r="O133" s="38" t="n"/>
    </x:row>
    <x:row r="134" s="25" customFormat="1" ht="15" customHeight="1">
      <x:c r="A134" s="34" t="inlineStr">
        <x:is>
          <x:t xml:space="preserve">C128</x:t>
        </x:is>
      </x:c>
      <x:c r="B134" s="34" t="n">
        <x:v>3</x:v>
      </x:c>
      <x:c r="C134" s="35" t="n">
        <x:f>$B$4+17</x:f>
        <x:v>46338</x:v>
      </x:c>
      <x:c r="D134" s="34" t="inlineStr">
        <x:is>
          <x:t xml:space="preserve">Thứ 5</x:t>
        </x:is>
      </x:c>
      <x:c r="E134" s="36" t="inlineStr">
        <x:is>
          <x:t xml:space="preserve">Lê Văn Cường</x:t>
        </x:is>
      </x:c>
      <x:c r="F134" s="36" t="inlineStr">
        <x:is>
          <x:t xml:space="preserve">Frontend + E2E</x:t>
        </x:is>
      </x:c>
      <x:c r="G134" s="34" t="inlineStr">
        <x:is>
          <x:t xml:space="preserve">TASK-003</x:t>
        </x:is>
      </x:c>
      <x:c r="H134" s="36" t="inlineStr">
        <x:is>
          <x:t xml:space="preserve">test/task-003-e2e</x:t>
        </x:is>
      </x:c>
      <x:c r="I134" s="34" t="n">
        <x:v>8</x:v>
      </x:c>
      <x:c r="J134" s="36" t="inlineStr">
        <x:is>
          <x:t xml:space="preserve">feat(frontend): refresh slots after booking or cancel</x:t>
        </x:is>
      </x:c>
      <x:c r="K134" s="36" t="n"/>
      <x:c r="L134" s="36" t="n"/>
      <x:c r="M134" s="37" t="inlineStr">
        <x:is>
          <x:t xml:space="preserve">Todo</x:t>
        </x:is>
      </x:c>
      <x:c r="N134" s="38" t="n"/>
      <x:c r="O134" s="38" t="n"/>
    </x:row>
    <x:row r="135" s="25" customFormat="1" ht="15" customHeight="1">
      <x:c r="A135" s="34" t="inlineStr">
        <x:is>
          <x:t xml:space="preserve">C129</x:t>
        </x:is>
      </x:c>
      <x:c r="B135" s="34" t="n">
        <x:v>3</x:v>
      </x:c>
      <x:c r="C135" s="35" t="n">
        <x:f>$B$4+18</x:f>
        <x:v>46339</x:v>
      </x:c>
      <x:c r="D135" s="34" t="inlineStr">
        <x:is>
          <x:t xml:space="preserve">Thứ 6</x:t>
        </x:is>
      </x:c>
      <x:c r="E135" s="36" t="inlineStr">
        <x:is>
          <x:t xml:space="preserve">Lê Văn Cường</x:t>
        </x:is>
      </x:c>
      <x:c r="F135" s="36" t="inlineStr">
        <x:is>
          <x:t xml:space="preserve">Frontend + E2E</x:t>
        </x:is>
      </x:c>
      <x:c r="G135" s="34" t="inlineStr">
        <x:is>
          <x:t xml:space="preserve">TASK-003</x:t>
        </x:is>
      </x:c>
      <x:c r="H135" s="36" t="inlineStr">
        <x:is>
          <x:t xml:space="preserve">test/task-003-e2e</x:t>
        </x:is>
      </x:c>
      <x:c r="I135" s="34" t="n">
        <x:v>9</x:v>
      </x:c>
      <x:c r="J135" s="36" t="inlineStr">
        <x:is>
          <x:t xml:space="preserve">fix(frontend): add accessible labels to form controls</x:t>
        </x:is>
      </x:c>
      <x:c r="K135" s="36" t="n"/>
      <x:c r="L135" s="36" t="n"/>
      <x:c r="M135" s="37" t="inlineStr">
        <x:is>
          <x:t xml:space="preserve">Todo</x:t>
        </x:is>
      </x:c>
      <x:c r="N135" s="38" t="n"/>
      <x:c r="O135" s="38" t="n"/>
    </x:row>
    <x:row r="136" s="25" customFormat="1" ht="15" customHeight="1">
      <x:c r="A136" s="34" t="inlineStr">
        <x:is>
          <x:t xml:space="preserve">C130</x:t>
        </x:is>
      </x:c>
      <x:c r="B136" s="34" t="n">
        <x:v>3</x:v>
      </x:c>
      <x:c r="C136" s="35" t="n">
        <x:f>$B$4+18</x:f>
        <x:v>46339</x:v>
      </x:c>
      <x:c r="D136" s="34" t="inlineStr">
        <x:is>
          <x:t xml:space="preserve">Thứ 6</x:t>
        </x:is>
      </x:c>
      <x:c r="E136" s="36" t="inlineStr">
        <x:is>
          <x:t xml:space="preserve">Lê Văn Cường</x:t>
        </x:is>
      </x:c>
      <x:c r="F136" s="36" t="inlineStr">
        <x:is>
          <x:t xml:space="preserve">Frontend + E2E</x:t>
        </x:is>
      </x:c>
      <x:c r="G136" s="34" t="inlineStr">
        <x:is>
          <x:t xml:space="preserve">TASK-003</x:t>
        </x:is>
      </x:c>
      <x:c r="H136" s="36" t="inlineStr">
        <x:is>
          <x:t xml:space="preserve">test/task-003-e2e</x:t>
        </x:is>
      </x:c>
      <x:c r="I136" s="34" t="n">
        <x:v>10</x:v>
      </x:c>
      <x:c r="J136" s="36" t="inlineStr">
        <x:is>
          <x:t xml:space="preserve">docs(evidence): record E06 results</x:t>
        </x:is>
      </x:c>
      <x:c r="K136" s="36" t="n"/>
      <x:c r="L136" s="36" t="n"/>
      <x:c r="M136" s="37" t="inlineStr">
        <x:is>
          <x:t xml:space="preserve">Todo</x:t>
        </x:is>
      </x:c>
      <x:c r="N136" s="38" t="n"/>
      <x:c r="O136" s="38" t="n"/>
    </x:row>
    <x:row r="137" s="25" customFormat="1" ht="15" customHeight="1">
      <x:c r="A137" s="34" t="inlineStr">
        <x:is>
          <x:t xml:space="preserve">C131</x:t>
        </x:is>
      </x:c>
      <x:c r="B137" s="34" t="n">
        <x:v>3</x:v>
      </x:c>
      <x:c r="C137" s="35" t="n">
        <x:f>$B$4+14</x:f>
        <x:v>46335</x:v>
      </x:c>
      <x:c r="D137" s="34" t="inlineStr">
        <x:is>
          <x:t xml:space="preserve">Thứ 2</x:t>
        </x:is>
      </x:c>
      <x:c r="E137" s="36" t="inlineStr">
        <x:is>
          <x:t xml:space="preserve">Nguyễn Việt Anh</x:t>
        </x:is>
      </x:c>
      <x:c r="F137" s="36" t="inlineStr">
        <x:is>
          <x:t xml:space="preserve">Release + độ tin cậy</x:t>
        </x:is>
      </x:c>
      <x:c r="G137" s="34" t="inlineStr">
        <x:is>
          <x:t xml:space="preserve">TASK-007</x:t>
        </x:is>
      </x:c>
      <x:c r="H137" s="36" t="inlineStr">
        <x:is>
          <x:t xml:space="preserve">feat/task-007-drill-tooling</x:t>
        </x:is>
      </x:c>
      <x:c r="I137" s="34" t="n">
        <x:v>1</x:v>
      </x:c>
      <x:c r="J137" s="36" t="inlineStr">
        <x:is>
          <x:t xml:space="preserve">feat(release): add v0.2.0-drill manifest template with fault config</x:t>
        </x:is>
      </x:c>
      <x:c r="K137" s="36" t="n"/>
      <x:c r="L137" s="36" t="inlineStr">
        <x:is>
          <x:t xml:space="preserve">Cương: fault injection (T1)</x:t>
        </x:is>
      </x:c>
      <x:c r="M137" s="37" t="inlineStr">
        <x:is>
          <x:t xml:space="preserve">Todo</x:t>
        </x:is>
      </x:c>
      <x:c r="N137" s="38" t="n"/>
      <x:c r="O137" s="38" t="n"/>
    </x:row>
    <x:row r="138" s="25" customFormat="1" ht="15" customHeight="1">
      <x:c r="A138" s="34" t="inlineStr">
        <x:is>
          <x:t xml:space="preserve">C132</x:t>
        </x:is>
      </x:c>
      <x:c r="B138" s="34" t="n">
        <x:v>3</x:v>
      </x:c>
      <x:c r="C138" s="35" t="n">
        <x:f>$B$4+14</x:f>
        <x:v>46335</x:v>
      </x:c>
      <x:c r="D138" s="34" t="inlineStr">
        <x:is>
          <x:t xml:space="preserve">Thứ 2</x:t>
        </x:is>
      </x:c>
      <x:c r="E138" s="36" t="inlineStr">
        <x:is>
          <x:t xml:space="preserve">Nguyễn Việt Anh</x:t>
        </x:is>
      </x:c>
      <x:c r="F138" s="36" t="inlineStr">
        <x:is>
          <x:t xml:space="preserve">Release + độ tin cậy</x:t>
        </x:is>
      </x:c>
      <x:c r="G138" s="34" t="inlineStr">
        <x:is>
          <x:t xml:space="preserve">TASK-007</x:t>
        </x:is>
      </x:c>
      <x:c r="H138" s="36" t="inlineStr">
        <x:is>
          <x:t xml:space="preserve">feat/task-007-drill-tooling</x:t>
        </x:is>
      </x:c>
      <x:c r="I138" s="34" t="n">
        <x:v>2</x:v>
      </x:c>
      <x:c r="J138" s="36" t="inlineStr">
        <x:is>
          <x:t xml:space="preserve">docs(incidents): add incident report template</x:t>
        </x:is>
      </x:c>
      <x:c r="K138" s="36" t="n"/>
      <x:c r="L138" s="36" t="n"/>
      <x:c r="M138" s="37" t="inlineStr">
        <x:is>
          <x:t xml:space="preserve">Todo</x:t>
        </x:is>
      </x:c>
      <x:c r="N138" s="38" t="n"/>
      <x:c r="O138" s="38" t="n"/>
    </x:row>
    <x:row r="139" s="25" customFormat="1" ht="15" customHeight="1">
      <x:c r="A139" s="34" t="inlineStr">
        <x:is>
          <x:t xml:space="preserve">C133</x:t>
        </x:is>
      </x:c>
      <x:c r="B139" s="34" t="n">
        <x:v>3</x:v>
      </x:c>
      <x:c r="C139" s="35" t="n">
        <x:f>$B$4+15</x:f>
        <x:v>46336</x:v>
      </x:c>
      <x:c r="D139" s="34" t="inlineStr">
        <x:is>
          <x:t xml:space="preserve">Thứ 3</x:t>
        </x:is>
      </x:c>
      <x:c r="E139" s="36" t="inlineStr">
        <x:is>
          <x:t xml:space="preserve">Nguyễn Việt Anh</x:t>
        </x:is>
      </x:c>
      <x:c r="F139" s="36" t="inlineStr">
        <x:is>
          <x:t xml:space="preserve">Release + độ tin cậy</x:t>
        </x:is>
      </x:c>
      <x:c r="G139" s="34" t="inlineStr">
        <x:is>
          <x:t xml:space="preserve">TASK-007</x:t>
        </x:is>
      </x:c>
      <x:c r="H139" s="36" t="inlineStr">
        <x:is>
          <x:t xml:space="preserve">feat/task-007-drill-tooling</x:t>
        </x:is>
      </x:c>
      <x:c r="I139" s="34" t="n">
        <x:v>3</x:v>
      </x:c>
      <x:c r="J139" s="36" t="inlineStr">
        <x:is>
          <x:t xml:space="preserve">feat(scripts): add drill timeline recorder</x:t>
        </x:is>
      </x:c>
      <x:c r="K139" s="36" t="inlineStr">
        <x:is>
          <x:t xml:space="preserve">Ghi timestamp từng mốc</x:t>
        </x:is>
      </x:c>
      <x:c r="L139" s="36" t="n"/>
      <x:c r="M139" s="37" t="inlineStr">
        <x:is>
          <x:t xml:space="preserve">Todo</x:t>
        </x:is>
      </x:c>
      <x:c r="N139" s="38" t="n"/>
      <x:c r="O139" s="38" t="n"/>
    </x:row>
    <x:row r="140" s="25" customFormat="1" ht="15" customHeight="1">
      <x:c r="A140" s="34" t="inlineStr">
        <x:is>
          <x:t xml:space="preserve">C134</x:t>
        </x:is>
      </x:c>
      <x:c r="B140" s="34" t="n">
        <x:v>3</x:v>
      </x:c>
      <x:c r="C140" s="35" t="n">
        <x:f>$B$4+15</x:f>
        <x:v>46336</x:v>
      </x:c>
      <x:c r="D140" s="34" t="inlineStr">
        <x:is>
          <x:t xml:space="preserve">Thứ 3</x:t>
        </x:is>
      </x:c>
      <x:c r="E140" s="36" t="inlineStr">
        <x:is>
          <x:t xml:space="preserve">Nguyễn Việt Anh</x:t>
        </x:is>
      </x:c>
      <x:c r="F140" s="36" t="inlineStr">
        <x:is>
          <x:t xml:space="preserve">Release + độ tin cậy</x:t>
        </x:is>
      </x:c>
      <x:c r="G140" s="34" t="inlineStr">
        <x:is>
          <x:t xml:space="preserve">TASK-007</x:t>
        </x:is>
      </x:c>
      <x:c r="H140" s="36" t="inlineStr">
        <x:is>
          <x:t xml:space="preserve">feat/task-007-drill-tooling</x:t>
        </x:is>
      </x:c>
      <x:c r="I140" s="34" t="n">
        <x:v>4</x:v>
      </x:c>
      <x:c r="J140" s="36" t="inlineStr">
        <x:is>
          <x:t xml:space="preserve">test(scripts): cover timeline recorder</x:t>
        </x:is>
      </x:c>
      <x:c r="K140" s="36" t="n"/>
      <x:c r="L140" s="36" t="n"/>
      <x:c r="M140" s="37" t="inlineStr">
        <x:is>
          <x:t xml:space="preserve">Todo</x:t>
        </x:is>
      </x:c>
      <x:c r="N140" s="38" t="n"/>
      <x:c r="O140" s="38" t="n"/>
    </x:row>
    <x:row r="141" s="25" customFormat="1" ht="15" customHeight="1">
      <x:c r="A141" s="34" t="inlineStr">
        <x:is>
          <x:t xml:space="preserve">C135</x:t>
        </x:is>
      </x:c>
      <x:c r="B141" s="34" t="n">
        <x:v>3</x:v>
      </x:c>
      <x:c r="C141" s="35" t="n">
        <x:f>$B$4+16</x:f>
        <x:v>46337</x:v>
      </x:c>
      <x:c r="D141" s="34" t="inlineStr">
        <x:is>
          <x:t xml:space="preserve">Thứ 4</x:t>
        </x:is>
      </x:c>
      <x:c r="E141" s="36" t="inlineStr">
        <x:is>
          <x:t xml:space="preserve">Nguyễn Việt Anh</x:t>
        </x:is>
      </x:c>
      <x:c r="F141" s="36" t="inlineStr">
        <x:is>
          <x:t xml:space="preserve">Release + độ tin cậy</x:t>
        </x:is>
      </x:c>
      <x:c r="G141" s="34" t="inlineStr">
        <x:is>
          <x:t xml:space="preserve">TASK-007</x:t>
        </x:is>
      </x:c>
      <x:c r="H141" s="36" t="inlineStr">
        <x:is>
          <x:t xml:space="preserve">feat/task-007-drill-tooling</x:t>
        </x:is>
      </x:c>
      <x:c r="I141" s="34" t="n">
        <x:v>5</x:v>
      </x:c>
      <x:c r="J141" s="36" t="inlineStr">
        <x:is>
          <x:t xml:space="preserve">feat(scripts): add booking integrity check before and after</x:t>
        </x:is>
      </x:c>
      <x:c r="K141" s="36" t="inlineStr">
        <x:is>
          <x:t xml:space="preserve">So số booking trước/sau rollback</x:t>
        </x:is>
      </x:c>
      <x:c r="L141" s="36" t="n"/>
      <x:c r="M141" s="37" t="inlineStr">
        <x:is>
          <x:t xml:space="preserve">Todo</x:t>
        </x:is>
      </x:c>
      <x:c r="N141" s="38" t="n"/>
      <x:c r="O141" s="38" t="n"/>
    </x:row>
    <x:row r="142" s="25" customFormat="1" ht="15" customHeight="1">
      <x:c r="A142" s="34" t="inlineStr">
        <x:is>
          <x:t xml:space="preserve">C136</x:t>
        </x:is>
      </x:c>
      <x:c r="B142" s="34" t="n">
        <x:v>3</x:v>
      </x:c>
      <x:c r="C142" s="35" t="n">
        <x:f>$B$4+16</x:f>
        <x:v>46337</x:v>
      </x:c>
      <x:c r="D142" s="34" t="inlineStr">
        <x:is>
          <x:t xml:space="preserve">Thứ 4</x:t>
        </x:is>
      </x:c>
      <x:c r="E142" s="36" t="inlineStr">
        <x:is>
          <x:t xml:space="preserve">Nguyễn Việt Anh</x:t>
        </x:is>
      </x:c>
      <x:c r="F142" s="36" t="inlineStr">
        <x:is>
          <x:t xml:space="preserve">Release + độ tin cậy</x:t>
        </x:is>
      </x:c>
      <x:c r="G142" s="34" t="inlineStr">
        <x:is>
          <x:t xml:space="preserve">TASK-007</x:t>
        </x:is>
      </x:c>
      <x:c r="H142" s="36" t="inlineStr">
        <x:is>
          <x:t xml:space="preserve">feat/task-007-drill-tooling</x:t>
        </x:is>
      </x:c>
      <x:c r="I142" s="34" t="n">
        <x:v>6</x:v>
      </x:c>
      <x:c r="J142" s="36" t="inlineStr">
        <x:is>
          <x:t xml:space="preserve">test(scripts): cover integrity check</x:t>
        </x:is>
      </x:c>
      <x:c r="K142" s="36" t="n"/>
      <x:c r="L142" s="36" t="n"/>
      <x:c r="M142" s="37" t="inlineStr">
        <x:is>
          <x:t xml:space="preserve">Todo</x:t>
        </x:is>
      </x:c>
      <x:c r="N142" s="38" t="n"/>
      <x:c r="O142" s="38" t="n"/>
    </x:row>
    <x:row r="143" s="25" customFormat="1" ht="15" customHeight="1">
      <x:c r="A143" s="34" t="inlineStr">
        <x:is>
          <x:t xml:space="preserve">C137</x:t>
        </x:is>
      </x:c>
      <x:c r="B143" s="34" t="n">
        <x:v>3</x:v>
      </x:c>
      <x:c r="C143" s="35" t="n">
        <x:f>$B$4+17</x:f>
        <x:v>46338</x:v>
      </x:c>
      <x:c r="D143" s="34" t="inlineStr">
        <x:is>
          <x:t xml:space="preserve">Thứ 5</x:t>
        </x:is>
      </x:c>
      <x:c r="E143" s="36" t="inlineStr">
        <x:is>
          <x:t xml:space="preserve">Nguyễn Việt Anh</x:t>
        </x:is>
      </x:c>
      <x:c r="F143" s="36" t="inlineStr">
        <x:is>
          <x:t xml:space="preserve">Release + độ tin cậy</x:t>
        </x:is>
      </x:c>
      <x:c r="G143" s="34" t="inlineStr">
        <x:is>
          <x:t xml:space="preserve">TASK-007</x:t>
        </x:is>
      </x:c>
      <x:c r="H143" s="36" t="inlineStr">
        <x:is>
          <x:t xml:space="preserve">feat/task-007-drill-tooling</x:t>
        </x:is>
      </x:c>
      <x:c r="I143" s="34" t="n">
        <x:v>7</x:v>
      </x:c>
      <x:c r="J143" s="36" t="inlineStr">
        <x:is>
          <x:t xml:space="preserve">docs(evidence): add baseline load test report draft</x:t>
        </x:is>
      </x:c>
      <x:c r="K143" s="36" t="inlineStr">
        <x:is>
          <x:t xml:space="preserve">Chạy k6 trên máy demo</x:t>
        </x:is>
      </x:c>
      <x:c r="L143" s="36" t="n"/>
      <x:c r="M143" s="37" t="inlineStr">
        <x:is>
          <x:t xml:space="preserve">Todo</x:t>
        </x:is>
      </x:c>
      <x:c r="N143" s="38" t="n"/>
      <x:c r="O143" s="38" t="n"/>
    </x:row>
    <x:row r="144" s="25" customFormat="1" ht="15" customHeight="1">
      <x:c r="A144" s="34" t="inlineStr">
        <x:is>
          <x:t xml:space="preserve">C138</x:t>
        </x:is>
      </x:c>
      <x:c r="B144" s="34" t="n">
        <x:v>3</x:v>
      </x:c>
      <x:c r="C144" s="35" t="n">
        <x:f>$B$4+17</x:f>
        <x:v>46338</x:v>
      </x:c>
      <x:c r="D144" s="34" t="inlineStr">
        <x:is>
          <x:t xml:space="preserve">Thứ 5</x:t>
        </x:is>
      </x:c>
      <x:c r="E144" s="36" t="inlineStr">
        <x:is>
          <x:t xml:space="preserve">Nguyễn Việt Anh</x:t>
        </x:is>
      </x:c>
      <x:c r="F144" s="36" t="inlineStr">
        <x:is>
          <x:t xml:space="preserve">Release + độ tin cậy</x:t>
        </x:is>
      </x:c>
      <x:c r="G144" s="34" t="inlineStr">
        <x:is>
          <x:t xml:space="preserve">TASK-007</x:t>
        </x:is>
      </x:c>
      <x:c r="H144" s="36" t="inlineStr">
        <x:is>
          <x:t xml:space="preserve">feat/task-007-drill-tooling</x:t>
        </x:is>
      </x:c>
      <x:c r="I144" s="34" t="n">
        <x:v>8</x:v>
      </x:c>
      <x:c r="J144" s="36" t="inlineStr">
        <x:is>
          <x:t xml:space="preserve">feat(loadtest): add mixed scenario with conflicts</x:t>
        </x:is>
      </x:c>
      <x:c r="K144" s="36" t="inlineStr">
        <x:is>
          <x:t xml:space="preserve">Tạo 409 có chủ đích</x:t>
        </x:is>
      </x:c>
      <x:c r="L144" s="36" t="n"/>
      <x:c r="M144" s="37" t="inlineStr">
        <x:is>
          <x:t xml:space="preserve">Todo</x:t>
        </x:is>
      </x:c>
      <x:c r="N144" s="38" t="n"/>
      <x:c r="O144" s="38" t="n"/>
    </x:row>
    <x:row r="145" s="25" customFormat="1" ht="15" customHeight="1">
      <x:c r="A145" s="34" t="inlineStr">
        <x:is>
          <x:t xml:space="preserve">C139</x:t>
        </x:is>
      </x:c>
      <x:c r="B145" s="34" t="n">
        <x:v>3</x:v>
      </x:c>
      <x:c r="C145" s="35" t="n">
        <x:f>$B$4+18</x:f>
        <x:v>46339</x:v>
      </x:c>
      <x:c r="D145" s="34" t="inlineStr">
        <x:is>
          <x:t xml:space="preserve">Thứ 6</x:t>
        </x:is>
      </x:c>
      <x:c r="E145" s="36" t="inlineStr">
        <x:is>
          <x:t xml:space="preserve">Nguyễn Việt Anh</x:t>
        </x:is>
      </x:c>
      <x:c r="F145" s="36" t="inlineStr">
        <x:is>
          <x:t xml:space="preserve">Release + độ tin cậy</x:t>
        </x:is>
      </x:c>
      <x:c r="G145" s="34" t="inlineStr">
        <x:is>
          <x:t xml:space="preserve">TASK-007</x:t>
        </x:is>
      </x:c>
      <x:c r="H145" s="36" t="inlineStr">
        <x:is>
          <x:t xml:space="preserve">feat/task-007-drill-tooling</x:t>
        </x:is>
      </x:c>
      <x:c r="I145" s="34" t="n">
        <x:v>9</x:v>
      </x:c>
      <x:c r="J145" s="36" t="inlineStr">
        <x:is>
          <x:t xml:space="preserve">docs(incidents): add step-by-step drill runbook</x:t>
        </x:is>
      </x:c>
      <x:c r="K145" s="36" t="n"/>
      <x:c r="L145" s="36" t="n"/>
      <x:c r="M145" s="37" t="inlineStr">
        <x:is>
          <x:t xml:space="preserve">Todo</x:t>
        </x:is>
      </x:c>
      <x:c r="N145" s="38" t="n"/>
      <x:c r="O145" s="38" t="n"/>
    </x:row>
    <x:row r="146" s="25" customFormat="1" ht="15" customHeight="1">
      <x:c r="A146" s="34" t="inlineStr">
        <x:is>
          <x:t xml:space="preserve">C140</x:t>
        </x:is>
      </x:c>
      <x:c r="B146" s="34" t="n">
        <x:v>3</x:v>
      </x:c>
      <x:c r="C146" s="35" t="n">
        <x:f>$B$4+18</x:f>
        <x:v>46339</x:v>
      </x:c>
      <x:c r="D146" s="34" t="inlineStr">
        <x:is>
          <x:t xml:space="preserve">Thứ 6</x:t>
        </x:is>
      </x:c>
      <x:c r="E146" s="36" t="inlineStr">
        <x:is>
          <x:t xml:space="preserve">Nguyễn Việt Anh</x:t>
        </x:is>
      </x:c>
      <x:c r="F146" s="36" t="inlineStr">
        <x:is>
          <x:t xml:space="preserve">Release + độ tin cậy</x:t>
        </x:is>
      </x:c>
      <x:c r="G146" s="34" t="inlineStr">
        <x:is>
          <x:t xml:space="preserve">TASK-007</x:t>
        </x:is>
      </x:c>
      <x:c r="H146" s="36" t="inlineStr">
        <x:is>
          <x:t xml:space="preserve">feat/task-007-drill-tooling</x:t>
        </x:is>
      </x:c>
      <x:c r="I146" s="34" t="n">
        <x:v>10</x:v>
      </x:c>
      <x:c r="J146" s="36" t="inlineStr">
        <x:is>
          <x:t xml:space="preserve">chore: add Makefile targets for load, drill and rollback</x:t>
        </x:is>
      </x:c>
      <x:c r="K146" s="36" t="n"/>
      <x:c r="L146" s="36" t="n"/>
      <x:c r="M146" s="37" t="inlineStr">
        <x:is>
          <x:t xml:space="preserve">Todo</x:t>
        </x:is>
      </x:c>
      <x:c r="N146" s="38" t="n"/>
      <x:c r="O146" s="38" t="n"/>
    </x:row>
    <x:row r="147" s="25" customFormat="1" ht="15" customHeight="1">
      <x:c r="A147" s="34" t="inlineStr">
        <x:is>
          <x:t xml:space="preserve">C141</x:t>
        </x:is>
      </x:c>
      <x:c r="B147" s="34" t="n">
        <x:v>3</x:v>
      </x:c>
      <x:c r="C147" s="35" t="n">
        <x:f>$B$4+14</x:f>
        <x:v>46335</x:v>
      </x:c>
      <x:c r="D147" s="34" t="inlineStr">
        <x:is>
          <x:t xml:space="preserve">Thứ 2</x:t>
        </x:is>
      </x:c>
      <x:c r="E147" s="36" t="inlineStr">
        <x:is>
          <x:t xml:space="preserve">Vũ Thành Công</x:t>
        </x:is>
      </x:c>
      <x:c r="F147" s="36" t="inlineStr">
        <x:is>
          <x:t xml:space="preserve">Observability</x:t>
        </x:is>
      </x:c>
      <x:c r="G147" s="34" t="inlineStr">
        <x:is>
          <x:t xml:space="preserve">TASK-006</x:t>
        </x:is>
      </x:c>
      <x:c r="H147" s="36" t="inlineStr">
        <x:is>
          <x:t xml:space="preserve">feat/task-006-dashboards</x:t>
        </x:is>
      </x:c>
      <x:c r="I147" s="34" t="n">
        <x:v>1</x:v>
      </x:c>
      <x:c r="J147" s="36" t="inlineStr">
        <x:is>
          <x:t xml:space="preserve">obs(grafana): add RED overview dashboard</x:t>
        </x:is>
      </x:c>
      <x:c r="K147" s="36" t="inlineStr">
        <x:is>
          <x:t xml:space="preserve">Rate, errors, duration</x:t>
        </x:is>
      </x:c>
      <x:c r="L147" s="36" t="inlineStr">
        <x:is>
          <x:t xml:space="preserve">Hoàng Anh: stack (T3)</x:t>
        </x:is>
      </x:c>
      <x:c r="M147" s="37" t="inlineStr">
        <x:is>
          <x:t xml:space="preserve">Todo</x:t>
        </x:is>
      </x:c>
      <x:c r="N147" s="38" t="n"/>
      <x:c r="O147" s="38" t="n"/>
    </x:row>
    <x:row r="148" s="25" customFormat="1" ht="15" customHeight="1">
      <x:c r="A148" s="34" t="inlineStr">
        <x:is>
          <x:t xml:space="preserve">C142</x:t>
        </x:is>
      </x:c>
      <x:c r="B148" s="34" t="n">
        <x:v>3</x:v>
      </x:c>
      <x:c r="C148" s="35" t="n">
        <x:f>$B$4+14</x:f>
        <x:v>46335</x:v>
      </x:c>
      <x:c r="D148" s="34" t="inlineStr">
        <x:is>
          <x:t xml:space="preserve">Thứ 2</x:t>
        </x:is>
      </x:c>
      <x:c r="E148" s="36" t="inlineStr">
        <x:is>
          <x:t xml:space="preserve">Vũ Thành Công</x:t>
        </x:is>
      </x:c>
      <x:c r="F148" s="36" t="inlineStr">
        <x:is>
          <x:t xml:space="preserve">Observability</x:t>
        </x:is>
      </x:c>
      <x:c r="G148" s="34" t="inlineStr">
        <x:is>
          <x:t xml:space="preserve">TASK-006</x:t>
        </x:is>
      </x:c>
      <x:c r="H148" s="36" t="inlineStr">
        <x:is>
          <x:t xml:space="preserve">feat/task-006-dashboards</x:t>
        </x:is>
      </x:c>
      <x:c r="I148" s="34" t="n">
        <x:v>2</x:v>
      </x:c>
      <x:c r="J148" s="36" t="inlineStr">
        <x:is>
          <x:t xml:space="preserve">obs(grafana): add latency percentiles by route</x:t>
        </x:is>
      </x:c>
      <x:c r="K148" s="36" t="inlineStr">
        <x:is>
          <x:t xml:space="preserve">p50/p95/p99</x:t>
        </x:is>
      </x:c>
      <x:c r="L148" s="36" t="n"/>
      <x:c r="M148" s="37" t="inlineStr">
        <x:is>
          <x:t xml:space="preserve">Todo</x:t>
        </x:is>
      </x:c>
      <x:c r="N148" s="38" t="n"/>
      <x:c r="O148" s="38" t="n"/>
    </x:row>
    <x:row r="149" s="25" customFormat="1" ht="15" customHeight="1">
      <x:c r="A149" s="34" t="inlineStr">
        <x:is>
          <x:t xml:space="preserve">C143</x:t>
        </x:is>
      </x:c>
      <x:c r="B149" s="34" t="n">
        <x:v>3</x:v>
      </x:c>
      <x:c r="C149" s="35" t="n">
        <x:f>$B$4+15</x:f>
        <x:v>46336</x:v>
      </x:c>
      <x:c r="D149" s="34" t="inlineStr">
        <x:is>
          <x:t xml:space="preserve">Thứ 3</x:t>
        </x:is>
      </x:c>
      <x:c r="E149" s="36" t="inlineStr">
        <x:is>
          <x:t xml:space="preserve">Vũ Thành Công</x:t>
        </x:is>
      </x:c>
      <x:c r="F149" s="36" t="inlineStr">
        <x:is>
          <x:t xml:space="preserve">Observability</x:t>
        </x:is>
      </x:c>
      <x:c r="G149" s="34" t="inlineStr">
        <x:is>
          <x:t xml:space="preserve">TASK-006</x:t>
        </x:is>
      </x:c>
      <x:c r="H149" s="36" t="inlineStr">
        <x:is>
          <x:t xml:space="preserve">feat/task-006-dashboards</x:t>
        </x:is>
      </x:c>
      <x:c r="I149" s="34" t="n">
        <x:v>3</x:v>
      </x:c>
      <x:c r="J149" s="36" t="inlineStr">
        <x:is>
          <x:t xml:space="preserve">obs(grafana): add booking conflicts panel</x:t>
        </x:is>
      </x:c>
      <x:c r="K149" s="36" t="n"/>
      <x:c r="L149" s="36" t="inlineStr">
        <x:is>
          <x:t xml:space="preserve">Cương: conflict counter (T3)</x:t>
        </x:is>
      </x:c>
      <x:c r="M149" s="37" t="inlineStr">
        <x:is>
          <x:t xml:space="preserve">Todo</x:t>
        </x:is>
      </x:c>
      <x:c r="N149" s="38" t="n"/>
      <x:c r="O149" s="38" t="n"/>
    </x:row>
    <x:row r="150" s="25" customFormat="1" ht="15" customHeight="1">
      <x:c r="A150" s="34" t="inlineStr">
        <x:is>
          <x:t xml:space="preserve">C144</x:t>
        </x:is>
      </x:c>
      <x:c r="B150" s="34" t="n">
        <x:v>3</x:v>
      </x:c>
      <x:c r="C150" s="35" t="n">
        <x:f>$B$4+15</x:f>
        <x:v>46336</x:v>
      </x:c>
      <x:c r="D150" s="34" t="inlineStr">
        <x:is>
          <x:t xml:space="preserve">Thứ 3</x:t>
        </x:is>
      </x:c>
      <x:c r="E150" s="36" t="inlineStr">
        <x:is>
          <x:t xml:space="preserve">Vũ Thành Công</x:t>
        </x:is>
      </x:c>
      <x:c r="F150" s="36" t="inlineStr">
        <x:is>
          <x:t xml:space="preserve">Observability</x:t>
        </x:is>
      </x:c>
      <x:c r="G150" s="34" t="inlineStr">
        <x:is>
          <x:t xml:space="preserve">TASK-006</x:t>
        </x:is>
      </x:c>
      <x:c r="H150" s="36" t="inlineStr">
        <x:is>
          <x:t xml:space="preserve">feat/task-006-dashboards</x:t>
        </x:is>
      </x:c>
      <x:c r="I150" s="34" t="n">
        <x:v>4</x:v>
      </x:c>
      <x:c r="J150" s="36" t="inlineStr">
        <x:is>
          <x:t xml:space="preserve">obs(grafana): add probe and container resource panels</x:t>
        </x:is>
      </x:c>
      <x:c r="K150" s="36" t="n"/>
      <x:c r="L150" s="36" t="n"/>
      <x:c r="M150" s="37" t="inlineStr">
        <x:is>
          <x:t xml:space="preserve">Todo</x:t>
        </x:is>
      </x:c>
      <x:c r="N150" s="38" t="n"/>
      <x:c r="O150" s="38" t="n"/>
    </x:row>
    <x:row r="151" s="25" customFormat="1" ht="15" customHeight="1">
      <x:c r="A151" s="34" t="inlineStr">
        <x:is>
          <x:t xml:space="preserve">C145</x:t>
        </x:is>
      </x:c>
      <x:c r="B151" s="34" t="n">
        <x:v>3</x:v>
      </x:c>
      <x:c r="C151" s="35" t="n">
        <x:f>$B$4+16</x:f>
        <x:v>46337</x:v>
      </x:c>
      <x:c r="D151" s="34" t="inlineStr">
        <x:is>
          <x:t xml:space="preserve">Thứ 4</x:t>
        </x:is>
      </x:c>
      <x:c r="E151" s="36" t="inlineStr">
        <x:is>
          <x:t xml:space="preserve">Vũ Thành Công</x:t>
        </x:is>
      </x:c>
      <x:c r="F151" s="36" t="inlineStr">
        <x:is>
          <x:t xml:space="preserve">Observability</x:t>
        </x:is>
      </x:c>
      <x:c r="G151" s="34" t="inlineStr">
        <x:is>
          <x:t xml:space="preserve">TASK-006</x:t>
        </x:is>
      </x:c>
      <x:c r="H151" s="36" t="inlineStr">
        <x:is>
          <x:t xml:space="preserve">feat/task-006-dashboards</x:t>
        </x:is>
      </x:c>
      <x:c r="I151" s="34" t="n">
        <x:v>5</x:v>
      </x:c>
      <x:c r="J151" s="36" t="inlineStr">
        <x:is>
          <x:t xml:space="preserve">obs(grafana): add deploy annotations and version panel</x:t>
        </x:is>
      </x:c>
      <x:c r="K151" s="36" t="n"/>
      <x:c r="L151" s="36" t="n"/>
      <x:c r="M151" s="37" t="inlineStr">
        <x:is>
          <x:t xml:space="preserve">Todo</x:t>
        </x:is>
      </x:c>
      <x:c r="N151" s="38" t="n"/>
      <x:c r="O151" s="38" t="n"/>
    </x:row>
    <x:row r="152" s="25" customFormat="1" ht="15" customHeight="1">
      <x:c r="A152" s="34" t="inlineStr">
        <x:is>
          <x:t xml:space="preserve">C146</x:t>
        </x:is>
      </x:c>
      <x:c r="B152" s="34" t="n">
        <x:v>3</x:v>
      </x:c>
      <x:c r="C152" s="35" t="n">
        <x:f>$B$4+16</x:f>
        <x:v>46337</x:v>
      </x:c>
      <x:c r="D152" s="34" t="inlineStr">
        <x:is>
          <x:t xml:space="preserve">Thứ 4</x:t>
        </x:is>
      </x:c>
      <x:c r="E152" s="36" t="inlineStr">
        <x:is>
          <x:t xml:space="preserve">Vũ Thành Công</x:t>
        </x:is>
      </x:c>
      <x:c r="F152" s="36" t="inlineStr">
        <x:is>
          <x:t xml:space="preserve">Observability</x:t>
        </x:is>
      </x:c>
      <x:c r="G152" s="34" t="inlineStr">
        <x:is>
          <x:t xml:space="preserve">TASK-006</x:t>
        </x:is>
      </x:c>
      <x:c r="H152" s="36" t="inlineStr">
        <x:is>
          <x:t xml:space="preserve">feat/task-006-dashboards</x:t>
        </x:is>
      </x:c>
      <x:c r="I152" s="34" t="n">
        <x:v>6</x:v>
      </x:c>
      <x:c r="J152" s="36" t="inlineStr">
        <x:is>
          <x:t xml:space="preserve">obs(grafana): link error panel to traces and logs</x:t>
        </x:is>
      </x:c>
      <x:c r="K152" s="36" t="n"/>
      <x:c r="L152" s="36" t="n"/>
      <x:c r="M152" s="37" t="inlineStr">
        <x:is>
          <x:t xml:space="preserve">Todo</x:t>
        </x:is>
      </x:c>
      <x:c r="N152" s="38" t="n"/>
      <x:c r="O152" s="38" t="n"/>
    </x:row>
    <x:row r="153" s="25" customFormat="1" ht="15" customHeight="1">
      <x:c r="A153" s="34" t="inlineStr">
        <x:is>
          <x:t xml:space="preserve">C147</x:t>
        </x:is>
      </x:c>
      <x:c r="B153" s="34" t="n">
        <x:v>3</x:v>
      </x:c>
      <x:c r="C153" s="35" t="n">
        <x:f>$B$4+17</x:f>
        <x:v>46338</x:v>
      </x:c>
      <x:c r="D153" s="34" t="inlineStr">
        <x:is>
          <x:t xml:space="preserve">Thứ 5</x:t>
        </x:is>
      </x:c>
      <x:c r="E153" s="36" t="inlineStr">
        <x:is>
          <x:t xml:space="preserve">Vũ Thành Công</x:t>
        </x:is>
      </x:c>
      <x:c r="F153" s="36" t="inlineStr">
        <x:is>
          <x:t xml:space="preserve">Observability</x:t>
        </x:is>
      </x:c>
      <x:c r="G153" s="34" t="inlineStr">
        <x:is>
          <x:t xml:space="preserve">TASK-006</x:t>
        </x:is>
      </x:c>
      <x:c r="H153" s="36" t="inlineStr">
        <x:is>
          <x:t xml:space="preserve">feat/task-006-dashboards</x:t>
        </x:is>
      </x:c>
      <x:c r="I153" s="34" t="n">
        <x:v>7</x:v>
      </x:c>
      <x:c r="J153" s="36" t="inlineStr">
        <x:is>
          <x:t xml:space="preserve">obs(prometheus): add recording rules for rate and error ratio</x:t>
        </x:is>
      </x:c>
      <x:c r="K153" s="36" t="n"/>
      <x:c r="L153" s="36" t="n"/>
      <x:c r="M153" s="37" t="inlineStr">
        <x:is>
          <x:t xml:space="preserve">Todo</x:t>
        </x:is>
      </x:c>
      <x:c r="N153" s="38" t="n"/>
      <x:c r="O153" s="38" t="n"/>
    </x:row>
    <x:row r="154" s="25" customFormat="1" ht="15" customHeight="1">
      <x:c r="A154" s="34" t="inlineStr">
        <x:is>
          <x:t xml:space="preserve">C148</x:t>
        </x:is>
      </x:c>
      <x:c r="B154" s="34" t="n">
        <x:v>3</x:v>
      </x:c>
      <x:c r="C154" s="35" t="n">
        <x:f>$B$4+17</x:f>
        <x:v>46338</x:v>
      </x:c>
      <x:c r="D154" s="34" t="inlineStr">
        <x:is>
          <x:t xml:space="preserve">Thứ 5</x:t>
        </x:is>
      </x:c>
      <x:c r="E154" s="36" t="inlineStr">
        <x:is>
          <x:t xml:space="preserve">Vũ Thành Công</x:t>
        </x:is>
      </x:c>
      <x:c r="F154" s="36" t="inlineStr">
        <x:is>
          <x:t xml:space="preserve">Observability</x:t>
        </x:is>
      </x:c>
      <x:c r="G154" s="34" t="inlineStr">
        <x:is>
          <x:t xml:space="preserve">TASK-006</x:t>
        </x:is>
      </x:c>
      <x:c r="H154" s="36" t="inlineStr">
        <x:is>
          <x:t xml:space="preserve">feat/task-006-dashboards</x:t>
        </x:is>
      </x:c>
      <x:c r="I154" s="34" t="n">
        <x:v>8</x:v>
      </x:c>
      <x:c r="J154" s="36" t="inlineStr">
        <x:is>
          <x:t xml:space="preserve">test(prometheus): add promtool unit tests for recording rules</x:t>
        </x:is>
      </x:c>
      <x:c r="K154" s="36" t="n"/>
      <x:c r="L154" s="36" t="n"/>
      <x:c r="M154" s="37" t="inlineStr">
        <x:is>
          <x:t xml:space="preserve">Todo</x:t>
        </x:is>
      </x:c>
      <x:c r="N154" s="38" t="n"/>
      <x:c r="O154" s="38" t="n"/>
    </x:row>
    <x:row r="155" s="25" customFormat="1" ht="15" customHeight="1">
      <x:c r="A155" s="34" t="inlineStr">
        <x:is>
          <x:t xml:space="preserve">C149</x:t>
        </x:is>
      </x:c>
      <x:c r="B155" s="34" t="n">
        <x:v>3</x:v>
      </x:c>
      <x:c r="C155" s="35" t="n">
        <x:f>$B$4+18</x:f>
        <x:v>46339</x:v>
      </x:c>
      <x:c r="D155" s="34" t="inlineStr">
        <x:is>
          <x:t xml:space="preserve">Thứ 6</x:t>
        </x:is>
      </x:c>
      <x:c r="E155" s="36" t="inlineStr">
        <x:is>
          <x:t xml:space="preserve">Vũ Thành Công</x:t>
        </x:is>
      </x:c>
      <x:c r="F155" s="36" t="inlineStr">
        <x:is>
          <x:t xml:space="preserve">Observability</x:t>
        </x:is>
      </x:c>
      <x:c r="G155" s="34" t="inlineStr">
        <x:is>
          <x:t xml:space="preserve">TASK-006</x:t>
        </x:is>
      </x:c>
      <x:c r="H155" s="36" t="inlineStr">
        <x:is>
          <x:t xml:space="preserve">feat/task-006-dashboards</x:t>
        </x:is>
      </x:c>
      <x:c r="I155" s="34" t="n">
        <x:v>9</x:v>
      </x:c>
      <x:c r="J155" s="36" t="inlineStr">
        <x:is>
          <x:t xml:space="preserve">obs(grafana): add environment and version variables</x:t>
        </x:is>
      </x:c>
      <x:c r="K155" s="36" t="n"/>
      <x:c r="L155" s="36" t="n"/>
      <x:c r="M155" s="37" t="inlineStr">
        <x:is>
          <x:t xml:space="preserve">Todo</x:t>
        </x:is>
      </x:c>
      <x:c r="N155" s="38" t="n"/>
      <x:c r="O155" s="38" t="n"/>
    </x:row>
    <x:row r="156" s="25" customFormat="1" ht="15" customHeight="1">
      <x:c r="A156" s="34" t="inlineStr">
        <x:is>
          <x:t xml:space="preserve">C150</x:t>
        </x:is>
      </x:c>
      <x:c r="B156" s="34" t="n">
        <x:v>3</x:v>
      </x:c>
      <x:c r="C156" s="35" t="n">
        <x:f>$B$4+18</x:f>
        <x:v>46339</x:v>
      </x:c>
      <x:c r="D156" s="34" t="inlineStr">
        <x:is>
          <x:t xml:space="preserve">Thứ 6</x:t>
        </x:is>
      </x:c>
      <x:c r="E156" s="36" t="inlineStr">
        <x:is>
          <x:t xml:space="preserve">Vũ Thành Công</x:t>
        </x:is>
      </x:c>
      <x:c r="F156" s="36" t="inlineStr">
        <x:is>
          <x:t xml:space="preserve">Observability</x:t>
        </x:is>
      </x:c>
      <x:c r="G156" s="34" t="inlineStr">
        <x:is>
          <x:t xml:space="preserve">TASK-006</x:t>
        </x:is>
      </x:c>
      <x:c r="H156" s="36" t="inlineStr">
        <x:is>
          <x:t xml:space="preserve">feat/task-006-dashboards</x:t>
        </x:is>
      </x:c>
      <x:c r="I156" s="34" t="n">
        <x:v>10</x:v>
      </x:c>
      <x:c r="J156" s="36" t="inlineStr">
        <x:is>
          <x:t xml:space="preserve">docs(telemetry): add dashboard guide</x:t>
        </x:is>
      </x:c>
      <x:c r="K156" s="36" t="n"/>
      <x:c r="L156" s="36" t="n"/>
      <x:c r="M156" s="37" t="inlineStr">
        <x:is>
          <x:t xml:space="preserve">Todo</x:t>
        </x:is>
      </x:c>
      <x:c r="N156" s="38" t="n"/>
      <x:c r="O156" s="38" t="n"/>
    </x:row>
    <x:row r="157" s="25" customFormat="1" ht="23.850000381469727" customHeight="1">
      <x:c r="A157" s="39" t="inlineStr">
        <x:is>
          <x:t xml:space="preserve">C151</x:t>
        </x:is>
      </x:c>
      <x:c r="B157" s="39" t="n">
        <x:v>4</x:v>
      </x:c>
      <x:c r="C157" s="40" t="n">
        <x:f>$B$4+21</x:f>
        <x:v>46342</x:v>
      </x:c>
      <x:c r="D157" s="39" t="inlineStr">
        <x:is>
          <x:t xml:space="preserve">Thứ 2</x:t>
        </x:is>
      </x:c>
      <x:c r="E157" s="41" t="inlineStr">
        <x:is>
          <x:t xml:space="preserve">Nguyễn Mai Hoàng Anh</x:t>
        </x:is>
      </x:c>
      <x:c r="F157" s="41" t="inlineStr">
        <x:is>
          <x:t xml:space="preserve">DevOps — CI/CD + hạ tầng monitoring</x:t>
        </x:is>
      </x:c>
      <x:c r="G157" s="39" t="inlineStr">
        <x:is>
          <x:t xml:space="preserve">TASK-006</x:t>
        </x:is>
      </x:c>
      <x:c r="H157" s="41" t="inlineStr">
        <x:is>
          <x:t xml:space="preserve">feat/task-006-alerting-infra</x:t>
        </x:is>
      </x:c>
      <x:c r="I157" s="39" t="n">
        <x:v>1</x:v>
      </x:c>
      <x:c r="J157" s="41" t="inlineStr">
        <x:is>
          <x:t xml:space="preserve">obs(alertmanager): add Alertmanager with Discord webhook receiver</x:t>
        </x:is>
      </x:c>
      <x:c r="K157" s="41" t="inlineStr">
        <x:is>
          <x:t xml:space="preserve">Webhook đọc từ secret/env, không commit</x:t>
        </x:is>
      </x:c>
      <x:c r="L157" s="41" t="inlineStr">
        <x:is>
          <x:t xml:space="preserve">Kênh Discord của nhóm</x:t>
        </x:is>
      </x:c>
      <x:c r="M157" s="37" t="inlineStr">
        <x:is>
          <x:t xml:space="preserve">Todo</x:t>
        </x:is>
      </x:c>
      <x:c r="N157" s="38" t="n"/>
      <x:c r="O157" s="38" t="n"/>
    </x:row>
    <x:row r="158" s="25" customFormat="1" ht="23.850000381469727" customHeight="1">
      <x:c r="A158" s="39" t="inlineStr">
        <x:is>
          <x:t xml:space="preserve">C152</x:t>
        </x:is>
      </x:c>
      <x:c r="B158" s="39" t="n">
        <x:v>4</x:v>
      </x:c>
      <x:c r="C158" s="40" t="n">
        <x:f>$B$4+21</x:f>
        <x:v>46342</x:v>
      </x:c>
      <x:c r="D158" s="39" t="inlineStr">
        <x:is>
          <x:t xml:space="preserve">Thứ 2</x:t>
        </x:is>
      </x:c>
      <x:c r="E158" s="41" t="inlineStr">
        <x:is>
          <x:t xml:space="preserve">Nguyễn Mai Hoàng Anh</x:t>
        </x:is>
      </x:c>
      <x:c r="F158" s="41" t="inlineStr">
        <x:is>
          <x:t xml:space="preserve">DevOps — CI/CD + hạ tầng monitoring</x:t>
        </x:is>
      </x:c>
      <x:c r="G158" s="39" t="inlineStr">
        <x:is>
          <x:t xml:space="preserve">TASK-006</x:t>
        </x:is>
      </x:c>
      <x:c r="H158" s="41" t="inlineStr">
        <x:is>
          <x:t xml:space="preserve">feat/task-006-alerting-infra</x:t>
        </x:is>
      </x:c>
      <x:c r="I158" s="39" t="n">
        <x:v>2</x:v>
      </x:c>
      <x:c r="J158" s="41" t="inlineStr">
        <x:is>
          <x:t xml:space="preserve">ci: add amtool check-config step</x:t>
        </x:is>
      </x:c>
      <x:c r="K158" s="41" t="inlineStr">
        <x:is>
          <x:t xml:space="preserve">Kiểm tra cấu hình Alertmanager trong CI</x:t>
        </x:is>
      </x:c>
      <x:c r="L158" s="41" t="n"/>
      <x:c r="M158" s="37" t="inlineStr">
        <x:is>
          <x:t xml:space="preserve">Todo</x:t>
        </x:is>
      </x:c>
      <x:c r="N158" s="38" t="n"/>
      <x:c r="O158" s="38" t="n"/>
    </x:row>
    <x:row r="159" s="25" customFormat="1" ht="23.850000381469727" customHeight="1">
      <x:c r="A159" s="39" t="inlineStr">
        <x:is>
          <x:t xml:space="preserve">C153</x:t>
        </x:is>
      </x:c>
      <x:c r="B159" s="39" t="n">
        <x:v>4</x:v>
      </x:c>
      <x:c r="C159" s="40" t="n">
        <x:f>$B$4+22</x:f>
        <x:v>46343</x:v>
      </x:c>
      <x:c r="D159" s="39" t="inlineStr">
        <x:is>
          <x:t xml:space="preserve">Thứ 3</x:t>
        </x:is>
      </x:c>
      <x:c r="E159" s="41" t="inlineStr">
        <x:is>
          <x:t xml:space="preserve">Nguyễn Mai Hoàng Anh</x:t>
        </x:is>
      </x:c>
      <x:c r="F159" s="41" t="inlineStr">
        <x:is>
          <x:t xml:space="preserve">DevOps — CI/CD + hạ tầng monitoring</x:t>
        </x:is>
      </x:c>
      <x:c r="G159" s="39" t="inlineStr">
        <x:is>
          <x:t xml:space="preserve">TASK-006</x:t>
        </x:is>
      </x:c>
      <x:c r="H159" s="41" t="inlineStr">
        <x:is>
          <x:t xml:space="preserve">feat/task-006-alerting-infra</x:t>
        </x:is>
      </x:c>
      <x:c r="I159" s="39" t="n">
        <x:v>3</x:v>
      </x:c>
      <x:c r="J159" s="41" t="inlineStr">
        <x:is>
          <x:t xml:space="preserve">ci: deploy observability stack in deploy workflow</x:t>
        </x:is>
      </x:c>
      <x:c r="K159" s="41" t="inlineStr">
        <x:is>
          <x:t xml:space="preserve">deploy.yml dựng cả stack quan sát</x:t>
        </x:is>
      </x:c>
      <x:c r="L159" s="41" t="n"/>
      <x:c r="M159" s="37" t="inlineStr">
        <x:is>
          <x:t xml:space="preserve">Todo</x:t>
        </x:is>
      </x:c>
      <x:c r="N159" s="38" t="n"/>
      <x:c r="O159" s="38" t="n"/>
    </x:row>
    <x:row r="160" s="25" customFormat="1" ht="23.850000381469727" customHeight="1">
      <x:c r="A160" s="39" t="inlineStr">
        <x:is>
          <x:t xml:space="preserve">C154</x:t>
        </x:is>
      </x:c>
      <x:c r="B160" s="39" t="n">
        <x:v>4</x:v>
      </x:c>
      <x:c r="C160" s="40" t="n">
        <x:f>$B$4+22</x:f>
        <x:v>46343</x:v>
      </x:c>
      <x:c r="D160" s="39" t="inlineStr">
        <x:is>
          <x:t xml:space="preserve">Thứ 3</x:t>
        </x:is>
      </x:c>
      <x:c r="E160" s="41" t="inlineStr">
        <x:is>
          <x:t xml:space="preserve">Nguyễn Mai Hoàng Anh</x:t>
        </x:is>
      </x:c>
      <x:c r="F160" s="41" t="inlineStr">
        <x:is>
          <x:t xml:space="preserve">DevOps — CI/CD + hạ tầng monitoring</x:t>
        </x:is>
      </x:c>
      <x:c r="G160" s="39" t="inlineStr">
        <x:is>
          <x:t xml:space="preserve">TASK-006</x:t>
        </x:is>
      </x:c>
      <x:c r="H160" s="41" t="inlineStr">
        <x:is>
          <x:t xml:space="preserve">feat/task-006-alerting-infra</x:t>
        </x:is>
      </x:c>
      <x:c r="I160" s="39" t="n">
        <x:v>4</x:v>
      </x:c>
      <x:c r="J160" s="41" t="inlineStr">
        <x:is>
          <x:t xml:space="preserve">obs: set retention and volume limits for Prometheus, Loki and Tempo</x:t>
        </x:is>
      </x:c>
      <x:c r="K160" s="41" t="inlineStr">
        <x:is>
          <x:t xml:space="preserve">Tránh đầy đĩa máy demo</x:t>
        </x:is>
      </x:c>
      <x:c r="L160" s="41" t="n"/>
      <x:c r="M160" s="37" t="inlineStr">
        <x:is>
          <x:t xml:space="preserve">Todo</x:t>
        </x:is>
      </x:c>
      <x:c r="N160" s="38" t="n"/>
      <x:c r="O160" s="38" t="n"/>
    </x:row>
    <x:row r="161" s="25" customFormat="1" ht="23.850000381469727" customHeight="1">
      <x:c r="A161" s="39" t="inlineStr">
        <x:is>
          <x:t xml:space="preserve">C155</x:t>
        </x:is>
      </x:c>
      <x:c r="B161" s="39" t="n">
        <x:v>4</x:v>
      </x:c>
      <x:c r="C161" s="40" t="n">
        <x:f>$B$4+23</x:f>
        <x:v>46344</x:v>
      </x:c>
      <x:c r="D161" s="39" t="inlineStr">
        <x:is>
          <x:t xml:space="preserve">Thứ 4</x:t>
        </x:is>
      </x:c>
      <x:c r="E161" s="41" t="inlineStr">
        <x:is>
          <x:t xml:space="preserve">Nguyễn Mai Hoàng Anh</x:t>
        </x:is>
      </x:c>
      <x:c r="F161" s="41" t="inlineStr">
        <x:is>
          <x:t xml:space="preserve">DevOps — CI/CD + hạ tầng monitoring</x:t>
        </x:is>
      </x:c>
      <x:c r="G161" s="39" t="inlineStr">
        <x:is>
          <x:t xml:space="preserve">TASK-006</x:t>
        </x:is>
      </x:c>
      <x:c r="H161" s="41" t="inlineStr">
        <x:is>
          <x:t xml:space="preserve">feat/task-006-alerting-infra</x:t>
        </x:is>
      </x:c>
      <x:c r="I161" s="39" t="n">
        <x:v>5</x:v>
      </x:c>
      <x:c r="J161" s="41" t="inlineStr">
        <x:is>
          <x:t xml:space="preserve">deploy: bind admin ports to localhost and Tailscale only</x:t>
        </x:is>
      </x:c>
      <x:c r="K161" s="41" t="inlineStr">
        <x:is>
          <x:t xml:space="preserve">Grafana/Prometheus không mở ra ngoài</x:t>
        </x:is>
      </x:c>
      <x:c r="L161" s="41" t="n"/>
      <x:c r="M161" s="37" t="inlineStr">
        <x:is>
          <x:t xml:space="preserve">Todo</x:t>
        </x:is>
      </x:c>
      <x:c r="N161" s="38" t="n"/>
      <x:c r="O161" s="38" t="n"/>
    </x:row>
    <x:row r="162" s="25" customFormat="1" ht="23.850000381469727" customHeight="1">
      <x:c r="A162" s="39" t="inlineStr">
        <x:is>
          <x:t xml:space="preserve">C156</x:t>
        </x:is>
      </x:c>
      <x:c r="B162" s="39" t="n">
        <x:v>4</x:v>
      </x:c>
      <x:c r="C162" s="40" t="n">
        <x:f>$B$4+23</x:f>
        <x:v>46344</x:v>
      </x:c>
      <x:c r="D162" s="39" t="inlineStr">
        <x:is>
          <x:t xml:space="preserve">Thứ 4</x:t>
        </x:is>
      </x:c>
      <x:c r="E162" s="41" t="inlineStr">
        <x:is>
          <x:t xml:space="preserve">Nguyễn Mai Hoàng Anh</x:t>
        </x:is>
      </x:c>
      <x:c r="F162" s="41" t="inlineStr">
        <x:is>
          <x:t xml:space="preserve">DevOps — CI/CD + hạ tầng monitoring</x:t>
        </x:is>
      </x:c>
      <x:c r="G162" s="39" t="inlineStr">
        <x:is>
          <x:t xml:space="preserve">TASK-006</x:t>
        </x:is>
      </x:c>
      <x:c r="H162" s="41" t="inlineStr">
        <x:is>
          <x:t xml:space="preserve">feat/task-006-alerting-infra</x:t>
        </x:is>
      </x:c>
      <x:c r="I162" s="39" t="n">
        <x:v>6</x:v>
      </x:c>
      <x:c r="J162" s="41" t="inlineStr">
        <x:is>
          <x:t xml:space="preserve">ci: add E2E job running Playwright against compose stack</x:t>
        </x:is>
      </x:c>
      <x:c r="K162" s="41" t="inlineStr">
        <x:is>
          <x:t xml:space="preserve">Phối hợp với Cường</x:t>
        </x:is>
      </x:c>
      <x:c r="L162" s="41" t="inlineStr">
        <x:is>
          <x:t xml:space="preserve">Cường: E2E suite (T3)</x:t>
        </x:is>
      </x:c>
      <x:c r="M162" s="37" t="inlineStr">
        <x:is>
          <x:t xml:space="preserve">Todo</x:t>
        </x:is>
      </x:c>
      <x:c r="N162" s="38" t="n"/>
      <x:c r="O162" s="38" t="n"/>
    </x:row>
    <x:row r="163" s="25" customFormat="1" ht="23.850000381469727" customHeight="1">
      <x:c r="A163" s="39" t="inlineStr">
        <x:is>
          <x:t xml:space="preserve">C157</x:t>
        </x:is>
      </x:c>
      <x:c r="B163" s="39" t="n">
        <x:v>4</x:v>
      </x:c>
      <x:c r="C163" s="40" t="n">
        <x:f>$B$4+24</x:f>
        <x:v>46345</x:v>
      </x:c>
      <x:c r="D163" s="39" t="inlineStr">
        <x:is>
          <x:t xml:space="preserve">Thứ 5</x:t>
        </x:is>
      </x:c>
      <x:c r="E163" s="41" t="inlineStr">
        <x:is>
          <x:t xml:space="preserve">Nguyễn Mai Hoàng Anh</x:t>
        </x:is>
      </x:c>
      <x:c r="F163" s="41" t="inlineStr">
        <x:is>
          <x:t xml:space="preserve">DevOps — CI/CD + hạ tầng monitoring</x:t>
        </x:is>
      </x:c>
      <x:c r="G163" s="39" t="inlineStr">
        <x:is>
          <x:t xml:space="preserve">TASK-006</x:t>
        </x:is>
      </x:c>
      <x:c r="H163" s="41" t="inlineStr">
        <x:is>
          <x:t xml:space="preserve">feat/task-006-alerting-infra</x:t>
        </x:is>
      </x:c>
      <x:c r="I163" s="39" t="n">
        <x:v>7</x:v>
      </x:c>
      <x:c r="J163" s="41" t="inlineStr">
        <x:is>
          <x:t xml:space="preserve">ci: publish frontend image and digest in release workflow</x:t>
        </x:is>
      </x:c>
      <x:c r="K163" s="41" t="inlineStr">
        <x:is>
          <x:t xml:space="preserve">Release build cả frontend</x:t>
        </x:is>
      </x:c>
      <x:c r="L163" s="41" t="inlineStr">
        <x:is>
          <x:t xml:space="preserve">Việt Anh: manifest có frontend (T1)</x:t>
        </x:is>
      </x:c>
      <x:c r="M163" s="37" t="inlineStr">
        <x:is>
          <x:t xml:space="preserve">Todo</x:t>
        </x:is>
      </x:c>
      <x:c r="N163" s="38" t="n"/>
      <x:c r="O163" s="38" t="n"/>
    </x:row>
    <x:row r="164" s="25" customFormat="1" ht="23.850000381469727" customHeight="1">
      <x:c r="A164" s="39" t="inlineStr">
        <x:is>
          <x:t xml:space="preserve">C158</x:t>
        </x:is>
      </x:c>
      <x:c r="B164" s="39" t="n">
        <x:v>4</x:v>
      </x:c>
      <x:c r="C164" s="40" t="n">
        <x:f>$B$4+24</x:f>
        <x:v>46345</x:v>
      </x:c>
      <x:c r="D164" s="39" t="inlineStr">
        <x:is>
          <x:t xml:space="preserve">Thứ 5</x:t>
        </x:is>
      </x:c>
      <x:c r="E164" s="41" t="inlineStr">
        <x:is>
          <x:t xml:space="preserve">Nguyễn Mai Hoàng Anh</x:t>
        </x:is>
      </x:c>
      <x:c r="F164" s="41" t="inlineStr">
        <x:is>
          <x:t xml:space="preserve">DevOps — CI/CD + hạ tầng monitoring</x:t>
        </x:is>
      </x:c>
      <x:c r="G164" s="39" t="inlineStr">
        <x:is>
          <x:t xml:space="preserve">TASK-006</x:t>
        </x:is>
      </x:c>
      <x:c r="H164" s="41" t="inlineStr">
        <x:is>
          <x:t xml:space="preserve">feat/task-006-alerting-infra</x:t>
        </x:is>
      </x:c>
      <x:c r="I164" s="39" t="n">
        <x:v>8</x:v>
      </x:c>
      <x:c r="J164" s="41" t="inlineStr">
        <x:is>
          <x:t xml:space="preserve">scripts: push Grafana annotation on deploy and rollback</x:t>
        </x:is>
      </x:c>
      <x:c r="K164" s="41" t="inlineStr">
        <x:is>
          <x:t xml:space="preserve">Đánh dấu thời điểm deploy trên dashboard</x:t>
        </x:is>
      </x:c>
      <x:c r="L164" s="41" t="n"/>
      <x:c r="M164" s="37" t="inlineStr">
        <x:is>
          <x:t xml:space="preserve">Todo</x:t>
        </x:is>
      </x:c>
      <x:c r="N164" s="38" t="n"/>
      <x:c r="O164" s="38" t="n"/>
    </x:row>
    <x:row r="165" s="25" customFormat="1" ht="23.850000381469727" customHeight="1">
      <x:c r="A165" s="39" t="inlineStr">
        <x:is>
          <x:t xml:space="preserve">C159</x:t>
        </x:is>
      </x:c>
      <x:c r="B165" s="39" t="n">
        <x:v>4</x:v>
      </x:c>
      <x:c r="C165" s="40" t="n">
        <x:f>$B$4+25</x:f>
        <x:v>46346</x:v>
      </x:c>
      <x:c r="D165" s="39" t="inlineStr">
        <x:is>
          <x:t xml:space="preserve">Thứ 6</x:t>
        </x:is>
      </x:c>
      <x:c r="E165" s="41" t="inlineStr">
        <x:is>
          <x:t xml:space="preserve">Nguyễn Mai Hoàng Anh</x:t>
        </x:is>
      </x:c>
      <x:c r="F165" s="41" t="inlineStr">
        <x:is>
          <x:t xml:space="preserve">DevOps — CI/CD + hạ tầng monitoring</x:t>
        </x:is>
      </x:c>
      <x:c r="G165" s="39" t="inlineStr">
        <x:is>
          <x:t xml:space="preserve">TASK-006</x:t>
        </x:is>
      </x:c>
      <x:c r="H165" s="41" t="inlineStr">
        <x:is>
          <x:t xml:space="preserve">feat/task-006-alerting-infra</x:t>
        </x:is>
      </x:c>
      <x:c r="I165" s="39" t="n">
        <x:v>9</x:v>
      </x:c>
      <x:c r="J165" s="41" t="inlineStr">
        <x:is>
          <x:t xml:space="preserve">docs(devops): add deploy and rollback runbook for demo host</x:t>
        </x:is>
      </x:c>
      <x:c r="K165" s="41" t="inlineStr">
        <x:is>
          <x:t xml:space="preserve">Runbook từng bước, kèm lệnh kiểm tra</x:t>
        </x:is>
      </x:c>
      <x:c r="L165" s="41" t="n"/>
      <x:c r="M165" s="37" t="inlineStr">
        <x:is>
          <x:t xml:space="preserve">Todo</x:t>
        </x:is>
      </x:c>
      <x:c r="N165" s="38" t="n"/>
      <x:c r="O165" s="38" t="n"/>
    </x:row>
    <x:row r="166" s="25" customFormat="1" ht="23.850000381469727" customHeight="1">
      <x:c r="A166" s="39" t="inlineStr">
        <x:is>
          <x:t xml:space="preserve">C160</x:t>
        </x:is>
      </x:c>
      <x:c r="B166" s="39" t="n">
        <x:v>4</x:v>
      </x:c>
      <x:c r="C166" s="40" t="n">
        <x:f>$B$4+25</x:f>
        <x:v>46346</x:v>
      </x:c>
      <x:c r="D166" s="39" t="inlineStr">
        <x:is>
          <x:t xml:space="preserve">Thứ 6</x:t>
        </x:is>
      </x:c>
      <x:c r="E166" s="41" t="inlineStr">
        <x:is>
          <x:t xml:space="preserve">Nguyễn Mai Hoàng Anh</x:t>
        </x:is>
      </x:c>
      <x:c r="F166" s="41" t="inlineStr">
        <x:is>
          <x:t xml:space="preserve">DevOps — CI/CD + hạ tầng monitoring</x:t>
        </x:is>
      </x:c>
      <x:c r="G166" s="39" t="inlineStr">
        <x:is>
          <x:t xml:space="preserve">TASK-006</x:t>
        </x:is>
      </x:c>
      <x:c r="H166" s="41" t="inlineStr">
        <x:is>
          <x:t xml:space="preserve">feat/task-006-alerting-infra</x:t>
        </x:is>
      </x:c>
      <x:c r="I166" s="39" t="n">
        <x:v>10</x:v>
      </x:c>
      <x:c r="J166" s="41" t="inlineStr">
        <x:is>
          <x:t xml:space="preserve">docs(evidence): record full stack resource usage</x:t>
        </x:is>
      </x:c>
      <x:c r="K166" s="41" t="inlineStr">
        <x:is>
          <x:t xml:space="preserve">Đo CPU/RAM/disk trước diễn tập</x:t>
        </x:is>
      </x:c>
      <x:c r="L166" s="41" t="n"/>
      <x:c r="M166" s="37" t="inlineStr">
        <x:is>
          <x:t xml:space="preserve">Todo</x:t>
        </x:is>
      </x:c>
      <x:c r="N166" s="38" t="n"/>
      <x:c r="O166" s="38" t="n"/>
    </x:row>
    <x:row r="167" s="25" customFormat="1" ht="15" customHeight="1">
      <x:c r="A167" s="39" t="inlineStr">
        <x:is>
          <x:t xml:space="preserve">C161</x:t>
        </x:is>
      </x:c>
      <x:c r="B167" s="39" t="n">
        <x:v>4</x:v>
      </x:c>
      <x:c r="C167" s="40" t="n">
        <x:f>$B$4+21</x:f>
        <x:v>46342</x:v>
      </x:c>
      <x:c r="D167" s="39" t="inlineStr">
        <x:is>
          <x:t xml:space="preserve">Thứ 2</x:t>
        </x:is>
      </x:c>
      <x:c r="E167" s="41" t="inlineStr">
        <x:is>
          <x:t xml:space="preserve">Phạm Minh Cương</x:t>
        </x:is>
      </x:c>
      <x:c r="F167" s="41" t="inlineStr">
        <x:is>
          <x:t xml:space="preserve">Backend + kiến trúc</x:t>
        </x:is>
      </x:c>
      <x:c r="G167" s="39" t="inlineStr">
        <x:is>
          <x:t xml:space="preserve">TASK-007</x:t>
        </x:is>
      </x:c>
      <x:c r="H167" s="41" t="inlineStr">
        <x:is>
          <x:t xml:space="preserve">feat/task-007-drill-support</x:t>
        </x:is>
      </x:c>
      <x:c r="I167" s="39" t="n">
        <x:v>1</x:v>
      </x:c>
      <x:c r="J167" s="41" t="inlineStr">
        <x:is>
          <x:t xml:space="preserve">feat(fault): load fault config from release manifest env</x:t>
        </x:is>
      </x:c>
      <x:c r="K167" s="41" t="inlineStr">
        <x:is>
          <x:t xml:space="preserve">Cho release v0.2.0-drill</x:t>
        </x:is>
      </x:c>
      <x:c r="L167" s="41" t="inlineStr">
        <x:is>
          <x:t xml:space="preserve">Việt Anh: manifest drill (T3)</x:t>
        </x:is>
      </x:c>
      <x:c r="M167" s="37" t="inlineStr">
        <x:is>
          <x:t xml:space="preserve">Todo</x:t>
        </x:is>
      </x:c>
      <x:c r="N167" s="38" t="n"/>
      <x:c r="O167" s="38" t="n"/>
    </x:row>
    <x:row r="168" s="25" customFormat="1" ht="15" customHeight="1">
      <x:c r="A168" s="39" t="inlineStr">
        <x:is>
          <x:t xml:space="preserve">C162</x:t>
        </x:is>
      </x:c>
      <x:c r="B168" s="39" t="n">
        <x:v>4</x:v>
      </x:c>
      <x:c r="C168" s="40" t="n">
        <x:f>$B$4+21</x:f>
        <x:v>46342</x:v>
      </x:c>
      <x:c r="D168" s="39" t="inlineStr">
        <x:is>
          <x:t xml:space="preserve">Thứ 2</x:t>
        </x:is>
      </x:c>
      <x:c r="E168" s="41" t="inlineStr">
        <x:is>
          <x:t xml:space="preserve">Phạm Minh Cương</x:t>
        </x:is>
      </x:c>
      <x:c r="F168" s="41" t="inlineStr">
        <x:is>
          <x:t xml:space="preserve">Backend + kiến trúc</x:t>
        </x:is>
      </x:c>
      <x:c r="G168" s="39" t="inlineStr">
        <x:is>
          <x:t xml:space="preserve">TASK-007</x:t>
        </x:is>
      </x:c>
      <x:c r="H168" s="41" t="inlineStr">
        <x:is>
          <x:t xml:space="preserve">feat/task-007-drill-support</x:t>
        </x:is>
      </x:c>
      <x:c r="I168" s="39" t="n">
        <x:v>2</x:v>
      </x:c>
      <x:c r="J168" s="41" t="inlineStr">
        <x:is>
          <x:t xml:space="preserve">test(release): validate fault config in manifest</x:t>
        </x:is>
      </x:c>
      <x:c r="K168" s="41" t="n"/>
      <x:c r="L168" s="41" t="n"/>
      <x:c r="M168" s="37" t="inlineStr">
        <x:is>
          <x:t xml:space="preserve">Todo</x:t>
        </x:is>
      </x:c>
      <x:c r="N168" s="38" t="n"/>
      <x:c r="O168" s="38" t="n"/>
    </x:row>
    <x:row r="169" s="25" customFormat="1" ht="15" customHeight="1">
      <x:c r="A169" s="39" t="inlineStr">
        <x:is>
          <x:t xml:space="preserve">C163</x:t>
        </x:is>
      </x:c>
      <x:c r="B169" s="39" t="n">
        <x:v>4</x:v>
      </x:c>
      <x:c r="C169" s="40" t="n">
        <x:f>$B$4+22</x:f>
        <x:v>46343</x:v>
      </x:c>
      <x:c r="D169" s="39" t="inlineStr">
        <x:is>
          <x:t xml:space="preserve">Thứ 3</x:t>
        </x:is>
      </x:c>
      <x:c r="E169" s="41" t="inlineStr">
        <x:is>
          <x:t xml:space="preserve">Phạm Minh Cương</x:t>
        </x:is>
      </x:c>
      <x:c r="F169" s="41" t="inlineStr">
        <x:is>
          <x:t xml:space="preserve">Backend + kiến trúc</x:t>
        </x:is>
      </x:c>
      <x:c r="G169" s="39" t="inlineStr">
        <x:is>
          <x:t xml:space="preserve">TASK-007</x:t>
        </x:is>
      </x:c>
      <x:c r="H169" s="41" t="inlineStr">
        <x:is>
          <x:t xml:space="preserve">feat/task-007-drill-support</x:t>
        </x:is>
      </x:c>
      <x:c r="I169" s="39" t="n">
        <x:v>3</x:v>
      </x:c>
      <x:c r="J169" s="41" t="inlineStr">
        <x:is>
          <x:t xml:space="preserve">feat(fault): log warning and span attribute when fault active</x:t>
        </x:is>
      </x:c>
      <x:c r="K169" s="41" t="inlineStr">
        <x:is>
          <x:t xml:space="preserve">Dễ thấy nguyên nhân khi điều tra</x:t>
        </x:is>
      </x:c>
      <x:c r="L169" s="41" t="n"/>
      <x:c r="M169" s="37" t="inlineStr">
        <x:is>
          <x:t xml:space="preserve">Todo</x:t>
        </x:is>
      </x:c>
      <x:c r="N169" s="38" t="n"/>
      <x:c r="O169" s="38" t="n"/>
    </x:row>
    <x:row r="170" s="25" customFormat="1" ht="15" customHeight="1">
      <x:c r="A170" s="39" t="inlineStr">
        <x:is>
          <x:t xml:space="preserve">C164</x:t>
        </x:is>
      </x:c>
      <x:c r="B170" s="39" t="n">
        <x:v>4</x:v>
      </x:c>
      <x:c r="C170" s="40" t="n">
        <x:f>$B$4+22</x:f>
        <x:v>46343</x:v>
      </x:c>
      <x:c r="D170" s="39" t="inlineStr">
        <x:is>
          <x:t xml:space="preserve">Thứ 3</x:t>
        </x:is>
      </x:c>
      <x:c r="E170" s="41" t="inlineStr">
        <x:is>
          <x:t xml:space="preserve">Phạm Minh Cương</x:t>
        </x:is>
      </x:c>
      <x:c r="F170" s="41" t="inlineStr">
        <x:is>
          <x:t xml:space="preserve">Backend + kiến trúc</x:t>
        </x:is>
      </x:c>
      <x:c r="G170" s="39" t="inlineStr">
        <x:is>
          <x:t xml:space="preserve">TASK-007</x:t>
        </x:is>
      </x:c>
      <x:c r="H170" s="41" t="inlineStr">
        <x:is>
          <x:t xml:space="preserve">feat/task-007-drill-support</x:t>
        </x:is>
      </x:c>
      <x:c r="I170" s="39" t="n">
        <x:v>4</x:v>
      </x:c>
      <x:c r="J170" s="41" t="inlineStr">
        <x:is>
          <x:t xml:space="preserve">perf(db): review indexes for slots query</x:t>
        </x:is>
      </x:c>
      <x:c r="K170" s="41" t="inlineStr">
        <x:is>
          <x:t xml:space="preserve">Kiểm tra EXPLAIN cho truy vấn slot</x:t>
        </x:is>
      </x:c>
      <x:c r="L170" s="41" t="n"/>
      <x:c r="M170" s="37" t="inlineStr">
        <x:is>
          <x:t xml:space="preserve">Todo</x:t>
        </x:is>
      </x:c>
      <x:c r="N170" s="38" t="n"/>
      <x:c r="O170" s="38" t="n"/>
    </x:row>
    <x:row r="171" s="25" customFormat="1" ht="15" customHeight="1">
      <x:c r="A171" s="39" t="inlineStr">
        <x:is>
          <x:t xml:space="preserve">C165</x:t>
        </x:is>
      </x:c>
      <x:c r="B171" s="39" t="n">
        <x:v>4</x:v>
      </x:c>
      <x:c r="C171" s="40" t="n">
        <x:f>$B$4+23</x:f>
        <x:v>46344</x:v>
      </x:c>
      <x:c r="D171" s="39" t="inlineStr">
        <x:is>
          <x:t xml:space="preserve">Thứ 4</x:t>
        </x:is>
      </x:c>
      <x:c r="E171" s="41" t="inlineStr">
        <x:is>
          <x:t xml:space="preserve">Phạm Minh Cương</x:t>
        </x:is>
      </x:c>
      <x:c r="F171" s="41" t="inlineStr">
        <x:is>
          <x:t xml:space="preserve">Backend + kiến trúc</x:t>
        </x:is>
      </x:c>
      <x:c r="G171" s="39" t="inlineStr">
        <x:is>
          <x:t xml:space="preserve">TASK-007</x:t>
        </x:is>
      </x:c>
      <x:c r="H171" s="41" t="inlineStr">
        <x:is>
          <x:t xml:space="preserve">feat/task-007-drill-support</x:t>
        </x:is>
      </x:c>
      <x:c r="I171" s="39" t="n">
        <x:v>5</x:v>
      </x:c>
      <x:c r="J171" s="41" t="inlineStr">
        <x:is>
          <x:t xml:space="preserve">feat(scripts): add seed_demo.py for demo data</x:t>
        </x:is>
      </x:c>
      <x:c r="K171" s="41" t="inlineStr">
        <x:is>
          <x:t xml:space="preserve">Tạo dữ liệu mẫu trước load test</x:t>
        </x:is>
      </x:c>
      <x:c r="L171" s="41" t="n"/>
      <x:c r="M171" s="37" t="inlineStr">
        <x:is>
          <x:t xml:space="preserve">Todo</x:t>
        </x:is>
      </x:c>
      <x:c r="N171" s="38" t="n"/>
      <x:c r="O171" s="38" t="n"/>
    </x:row>
    <x:row r="172" s="25" customFormat="1" ht="15" customHeight="1">
      <x:c r="A172" s="39" t="inlineStr">
        <x:is>
          <x:t xml:space="preserve">C166</x:t>
        </x:is>
      </x:c>
      <x:c r="B172" s="39" t="n">
        <x:v>4</x:v>
      </x:c>
      <x:c r="C172" s="40" t="n">
        <x:f>$B$4+23</x:f>
        <x:v>46344</x:v>
      </x:c>
      <x:c r="D172" s="39" t="inlineStr">
        <x:is>
          <x:t xml:space="preserve">Thứ 4</x:t>
        </x:is>
      </x:c>
      <x:c r="E172" s="41" t="inlineStr">
        <x:is>
          <x:t xml:space="preserve">Phạm Minh Cương</x:t>
        </x:is>
      </x:c>
      <x:c r="F172" s="41" t="inlineStr">
        <x:is>
          <x:t xml:space="preserve">Backend + kiến trúc</x:t>
        </x:is>
      </x:c>
      <x:c r="G172" s="39" t="inlineStr">
        <x:is>
          <x:t xml:space="preserve">TASK-007</x:t>
        </x:is>
      </x:c>
      <x:c r="H172" s="41" t="inlineStr">
        <x:is>
          <x:t xml:space="preserve">feat/task-007-drill-support</x:t>
        </x:is>
      </x:c>
      <x:c r="I172" s="39" t="n">
        <x:v>6</x:v>
      </x:c>
      <x:c r="J172" s="41" t="inlineStr">
        <x:is>
          <x:t xml:space="preserve">feat(scripts): add cleanup script for demo bookings</x:t>
        </x:is>
      </x:c>
      <x:c r="K172" s="41" t="inlineStr">
        <x:is>
          <x:t xml:space="preserve">Dọn dữ liệu sau load test</x:t>
        </x:is>
      </x:c>
      <x:c r="L172" s="41" t="n"/>
      <x:c r="M172" s="37" t="inlineStr">
        <x:is>
          <x:t xml:space="preserve">Todo</x:t>
        </x:is>
      </x:c>
      <x:c r="N172" s="38" t="n"/>
      <x:c r="O172" s="38" t="n"/>
    </x:row>
    <x:row r="173" s="25" customFormat="1" ht="15" customHeight="1">
      <x:c r="A173" s="39" t="inlineStr">
        <x:is>
          <x:t xml:space="preserve">C167</x:t>
        </x:is>
      </x:c>
      <x:c r="B173" s="39" t="n">
        <x:v>4</x:v>
      </x:c>
      <x:c r="C173" s="40" t="n">
        <x:f>$B$4+24</x:f>
        <x:v>46345</x:v>
      </x:c>
      <x:c r="D173" s="39" t="inlineStr">
        <x:is>
          <x:t xml:space="preserve">Thứ 5</x:t>
        </x:is>
      </x:c>
      <x:c r="E173" s="41" t="inlineStr">
        <x:is>
          <x:t xml:space="preserve">Phạm Minh Cương</x:t>
        </x:is>
      </x:c>
      <x:c r="F173" s="41" t="inlineStr">
        <x:is>
          <x:t xml:space="preserve">Backend + kiến trúc</x:t>
        </x:is>
      </x:c>
      <x:c r="G173" s="39" t="inlineStr">
        <x:is>
          <x:t xml:space="preserve">TASK-007</x:t>
        </x:is>
      </x:c>
      <x:c r="H173" s="41" t="inlineStr">
        <x:is>
          <x:t xml:space="preserve">feat/task-007-drill-support</x:t>
        </x:is>
      </x:c>
      <x:c r="I173" s="39" t="n">
        <x:v>7</x:v>
      </x:c>
      <x:c r="J173" s="41" t="inlineStr">
        <x:is>
          <x:t xml:space="preserve">test(integration): stabilise concurrent booking test</x:t>
        </x:is>
      </x:c>
      <x:c r="K173" s="41" t="inlineStr">
        <x:is>
          <x:t xml:space="preserve">Chạy lặp nhiều lần không flaky</x:t>
        </x:is>
      </x:c>
      <x:c r="L173" s="41" t="n"/>
      <x:c r="M173" s="37" t="inlineStr">
        <x:is>
          <x:t xml:space="preserve">Todo</x:t>
        </x:is>
      </x:c>
      <x:c r="N173" s="38" t="n"/>
      <x:c r="O173" s="38" t="n"/>
    </x:row>
    <x:row r="174" s="25" customFormat="1" ht="15" customHeight="1">
      <x:c r="A174" s="39" t="inlineStr">
        <x:is>
          <x:t xml:space="preserve">C168</x:t>
        </x:is>
      </x:c>
      <x:c r="B174" s="39" t="n">
        <x:v>4</x:v>
      </x:c>
      <x:c r="C174" s="40" t="n">
        <x:f>$B$4+24</x:f>
        <x:v>46345</x:v>
      </x:c>
      <x:c r="D174" s="39" t="inlineStr">
        <x:is>
          <x:t xml:space="preserve">Thứ 5</x:t>
        </x:is>
      </x:c>
      <x:c r="E174" s="41" t="inlineStr">
        <x:is>
          <x:t xml:space="preserve">Phạm Minh Cương</x:t>
        </x:is>
      </x:c>
      <x:c r="F174" s="41" t="inlineStr">
        <x:is>
          <x:t xml:space="preserve">Backend + kiến trúc</x:t>
        </x:is>
      </x:c>
      <x:c r="G174" s="39" t="inlineStr">
        <x:is>
          <x:t xml:space="preserve">TASK-007</x:t>
        </x:is>
      </x:c>
      <x:c r="H174" s="41" t="inlineStr">
        <x:is>
          <x:t xml:space="preserve">feat/task-007-drill-support</x:t>
        </x:is>
      </x:c>
      <x:c r="I174" s="39" t="n">
        <x:v>8</x:v>
      </x:c>
      <x:c r="J174" s="41" t="inlineStr">
        <x:is>
          <x:t xml:space="preserve">fix(api): address issues from E2E feedback</x:t>
        </x:is>
      </x:c>
      <x:c r="K174" s="41" t="inlineStr">
        <x:is>
          <x:t xml:space="preserve">Sửa lỗi Cường báo (nếu có)</x:t>
        </x:is>
      </x:c>
      <x:c r="L174" s="41" t="inlineStr">
        <x:is>
          <x:t xml:space="preserve">Cường: E2E</x:t>
        </x:is>
      </x:c>
      <x:c r="M174" s="37" t="inlineStr">
        <x:is>
          <x:t xml:space="preserve">Todo</x:t>
        </x:is>
      </x:c>
      <x:c r="N174" s="38" t="n"/>
      <x:c r="O174" s="38" t="n"/>
    </x:row>
    <x:row r="175" s="25" customFormat="1" ht="15" customHeight="1">
      <x:c r="A175" s="39" t="inlineStr">
        <x:is>
          <x:t xml:space="preserve">C169</x:t>
        </x:is>
      </x:c>
      <x:c r="B175" s="39" t="n">
        <x:v>4</x:v>
      </x:c>
      <x:c r="C175" s="40" t="n">
        <x:f>$B$4+25</x:f>
        <x:v>46346</x:v>
      </x:c>
      <x:c r="D175" s="39" t="inlineStr">
        <x:is>
          <x:t xml:space="preserve">Thứ 6</x:t>
        </x:is>
      </x:c>
      <x:c r="E175" s="41" t="inlineStr">
        <x:is>
          <x:t xml:space="preserve">Phạm Minh Cương</x:t>
        </x:is>
      </x:c>
      <x:c r="F175" s="41" t="inlineStr">
        <x:is>
          <x:t xml:space="preserve">Backend + kiến trúc</x:t>
        </x:is>
      </x:c>
      <x:c r="G175" s="39" t="inlineStr">
        <x:is>
          <x:t xml:space="preserve">TASK-007</x:t>
        </x:is>
      </x:c>
      <x:c r="H175" s="41" t="inlineStr">
        <x:is>
          <x:t xml:space="preserve">feat/task-007-drill-support</x:t>
        </x:is>
      </x:c>
      <x:c r="I175" s="39" t="n">
        <x:v>9</x:v>
      </x:c>
      <x:c r="J175" s="41" t="inlineStr">
        <x:is>
          <x:t xml:space="preserve">docs(backend): add troubleshooting runbook</x:t>
        </x:is>
      </x:c>
      <x:c r="K175" s="41" t="inlineStr">
        <x:is>
          <x:t xml:space="preserve">Các lỗi thường gặp và cách xem log</x:t>
        </x:is>
      </x:c>
      <x:c r="L175" s="41" t="n"/>
      <x:c r="M175" s="37" t="inlineStr">
        <x:is>
          <x:t xml:space="preserve">Todo</x:t>
        </x:is>
      </x:c>
      <x:c r="N175" s="38" t="n"/>
      <x:c r="O175" s="38" t="n"/>
    </x:row>
    <x:row r="176" s="25" customFormat="1" ht="15" customHeight="1">
      <x:c r="A176" s="39" t="inlineStr">
        <x:is>
          <x:t xml:space="preserve">C170</x:t>
        </x:is>
      </x:c>
      <x:c r="B176" s="39" t="n">
        <x:v>4</x:v>
      </x:c>
      <x:c r="C176" s="40" t="n">
        <x:f>$B$4+25</x:f>
        <x:v>46346</x:v>
      </x:c>
      <x:c r="D176" s="39" t="inlineStr">
        <x:is>
          <x:t xml:space="preserve">Thứ 6</x:t>
        </x:is>
      </x:c>
      <x:c r="E176" s="41" t="inlineStr">
        <x:is>
          <x:t xml:space="preserve">Phạm Minh Cương</x:t>
        </x:is>
      </x:c>
      <x:c r="F176" s="41" t="inlineStr">
        <x:is>
          <x:t xml:space="preserve">Backend + kiến trúc</x:t>
        </x:is>
      </x:c>
      <x:c r="G176" s="39" t="inlineStr">
        <x:is>
          <x:t xml:space="preserve">TASK-007</x:t>
        </x:is>
      </x:c>
      <x:c r="H176" s="41" t="inlineStr">
        <x:is>
          <x:t xml:space="preserve">feat/task-007-drill-support</x:t>
        </x:is>
      </x:c>
      <x:c r="I176" s="39" t="n">
        <x:v>10</x:v>
      </x:c>
      <x:c r="J176" s="41" t="inlineStr">
        <x:is>
          <x:t xml:space="preserve">refactor(config): validate fault settings combinations</x:t>
        </x:is>
      </x:c>
      <x:c r="K176" s="41" t="inlineStr">
        <x:is>
          <x:t xml:space="preserve">Chặn cấu hình sai</x:t>
        </x:is>
      </x:c>
      <x:c r="L176" s="41" t="n"/>
      <x:c r="M176" s="37" t="inlineStr">
        <x:is>
          <x:t xml:space="preserve">Todo</x:t>
        </x:is>
      </x:c>
      <x:c r="N176" s="38" t="n"/>
      <x:c r="O176" s="38" t="n"/>
    </x:row>
    <x:row r="177" s="25" customFormat="1" ht="15" customHeight="1">
      <x:c r="A177" s="39" t="inlineStr">
        <x:is>
          <x:t xml:space="preserve">C171</x:t>
        </x:is>
      </x:c>
      <x:c r="B177" s="39" t="n">
        <x:v>4</x:v>
      </x:c>
      <x:c r="C177" s="40" t="n">
        <x:f>$B$4+21</x:f>
        <x:v>46342</x:v>
      </x:c>
      <x:c r="D177" s="39" t="inlineStr">
        <x:is>
          <x:t xml:space="preserve">Thứ 2</x:t>
        </x:is>
      </x:c>
      <x:c r="E177" s="41" t="inlineStr">
        <x:is>
          <x:t xml:space="preserve">Lê Văn Cường</x:t>
        </x:is>
      </x:c>
      <x:c r="F177" s="41" t="inlineStr">
        <x:is>
          <x:t xml:space="preserve">Frontend + E2E</x:t>
        </x:is>
      </x:c>
      <x:c r="G177" s="39" t="inlineStr">
        <x:is>
          <x:t xml:space="preserve">TASK-003</x:t>
        </x:is>
      </x:c>
      <x:c r="H177" s="41" t="inlineStr">
        <x:is>
          <x:t xml:space="preserve">feat/task-003-ci-e2e-nginx</x:t>
        </x:is>
      </x:c>
      <x:c r="I177" s="39" t="n">
        <x:v>1</x:v>
      </x:c>
      <x:c r="J177" s="41" t="inlineStr">
        <x:is>
          <x:t xml:space="preserve">test(e2e): make suite configurable by base URL</x:t>
        </x:is>
      </x:c>
      <x:c r="K177" s="41" t="inlineStr">
        <x:is>
          <x:t xml:space="preserve">Chạy được với compose và máy demo</x:t>
        </x:is>
      </x:c>
      <x:c r="L177" s="41" t="n"/>
      <x:c r="M177" s="37" t="inlineStr">
        <x:is>
          <x:t xml:space="preserve">Todo</x:t>
        </x:is>
      </x:c>
      <x:c r="N177" s="38" t="n"/>
      <x:c r="O177" s="38" t="n"/>
    </x:row>
    <x:row r="178" s="25" customFormat="1" ht="23.850000381469727" customHeight="1">
      <x:c r="A178" s="39" t="inlineStr">
        <x:is>
          <x:t xml:space="preserve">C172</x:t>
        </x:is>
      </x:c>
      <x:c r="B178" s="39" t="n">
        <x:v>4</x:v>
      </x:c>
      <x:c r="C178" s="40" t="n">
        <x:f>$B$4+21</x:f>
        <x:v>46342</x:v>
      </x:c>
      <x:c r="D178" s="39" t="inlineStr">
        <x:is>
          <x:t xml:space="preserve">Thứ 2</x:t>
        </x:is>
      </x:c>
      <x:c r="E178" s="41" t="inlineStr">
        <x:is>
          <x:t xml:space="preserve">Lê Văn Cường</x:t>
        </x:is>
      </x:c>
      <x:c r="F178" s="41" t="inlineStr">
        <x:is>
          <x:t xml:space="preserve">Frontend + E2E</x:t>
        </x:is>
      </x:c>
      <x:c r="G178" s="39" t="inlineStr">
        <x:is>
          <x:t xml:space="preserve">TASK-003</x:t>
        </x:is>
      </x:c>
      <x:c r="H178" s="41" t="inlineStr">
        <x:is>
          <x:t xml:space="preserve">feat/task-003-ci-e2e-nginx</x:t>
        </x:is>
      </x:c>
      <x:c r="I178" s="39" t="n">
        <x:v>2</x:v>
      </x:c>
      <x:c r="J178" s="41" t="inlineStr">
        <x:is>
          <x:t xml:space="preserve">feat(frontend): show trace id in error banner</x:t>
        </x:is>
      </x:c>
      <x:c r="K178" s="41" t="inlineStr">
        <x:is>
          <x:t xml:space="preserve">Giúp điều tra từ UI</x:t>
        </x:is>
      </x:c>
      <x:c r="L178" s="41" t="inlineStr">
        <x:is>
          <x:t xml:space="preserve">Cương: traceparent header (T3)</x:t>
        </x:is>
      </x:c>
      <x:c r="M178" s="37" t="inlineStr">
        <x:is>
          <x:t xml:space="preserve">Todo</x:t>
        </x:is>
      </x:c>
      <x:c r="N178" s="38" t="n"/>
      <x:c r="O178" s="38" t="n"/>
    </x:row>
    <x:row r="179" s="25" customFormat="1" ht="15" customHeight="1">
      <x:c r="A179" s="39" t="inlineStr">
        <x:is>
          <x:t xml:space="preserve">C173</x:t>
        </x:is>
      </x:c>
      <x:c r="B179" s="39" t="n">
        <x:v>4</x:v>
      </x:c>
      <x:c r="C179" s="40" t="n">
        <x:f>$B$4+22</x:f>
        <x:v>46343</x:v>
      </x:c>
      <x:c r="D179" s="39" t="inlineStr">
        <x:is>
          <x:t xml:space="preserve">Thứ 3</x:t>
        </x:is>
      </x:c>
      <x:c r="E179" s="41" t="inlineStr">
        <x:is>
          <x:t xml:space="preserve">Lê Văn Cường</x:t>
        </x:is>
      </x:c>
      <x:c r="F179" s="41" t="inlineStr">
        <x:is>
          <x:t xml:space="preserve">Frontend + E2E</x:t>
        </x:is>
      </x:c>
      <x:c r="G179" s="39" t="inlineStr">
        <x:is>
          <x:t xml:space="preserve">TASK-003</x:t>
        </x:is>
      </x:c>
      <x:c r="H179" s="41" t="inlineStr">
        <x:is>
          <x:t xml:space="preserve">feat/task-003-ci-e2e-nginx</x:t>
        </x:is>
      </x:c>
      <x:c r="I179" s="39" t="n">
        <x:v>3</x:v>
      </x:c>
      <x:c r="J179" s="41" t="inlineStr">
        <x:is>
          <x:t xml:space="preserve">feat(frontend): show environment badge</x:t>
        </x:is>
      </x:c>
      <x:c r="K179" s="41" t="inlineStr">
        <x:is>
          <x:t xml:space="preserve">Phân biệt demo và drill</x:t>
        </x:is>
      </x:c>
      <x:c r="L179" s="41" t="n"/>
      <x:c r="M179" s="37" t="inlineStr">
        <x:is>
          <x:t xml:space="preserve">Todo</x:t>
        </x:is>
      </x:c>
      <x:c r="N179" s="38" t="n"/>
      <x:c r="O179" s="38" t="n"/>
    </x:row>
    <x:row r="180" s="25" customFormat="1" ht="15" customHeight="1">
      <x:c r="A180" s="39" t="inlineStr">
        <x:is>
          <x:t xml:space="preserve">C174</x:t>
        </x:is>
      </x:c>
      <x:c r="B180" s="39" t="n">
        <x:v>4</x:v>
      </x:c>
      <x:c r="C180" s="40" t="n">
        <x:f>$B$4+22</x:f>
        <x:v>46343</x:v>
      </x:c>
      <x:c r="D180" s="39" t="inlineStr">
        <x:is>
          <x:t xml:space="preserve">Thứ 3</x:t>
        </x:is>
      </x:c>
      <x:c r="E180" s="41" t="inlineStr">
        <x:is>
          <x:t xml:space="preserve">Lê Văn Cường</x:t>
        </x:is>
      </x:c>
      <x:c r="F180" s="41" t="inlineStr">
        <x:is>
          <x:t xml:space="preserve">Frontend + E2E</x:t>
        </x:is>
      </x:c>
      <x:c r="G180" s="39" t="inlineStr">
        <x:is>
          <x:t xml:space="preserve">TASK-003</x:t>
        </x:is>
      </x:c>
      <x:c r="H180" s="41" t="inlineStr">
        <x:is>
          <x:t xml:space="preserve">feat/task-003-ci-e2e-nginx</x:t>
        </x:is>
      </x:c>
      <x:c r="I180" s="39" t="n">
        <x:v>4</x:v>
      </x:c>
      <x:c r="J180" s="41" t="inlineStr">
        <x:is>
          <x:t xml:space="preserve">test(e2e): footer version matches deployed manifest</x:t>
        </x:is>
      </x:c>
      <x:c r="K180" s="41" t="n"/>
      <x:c r="L180" s="41" t="n"/>
      <x:c r="M180" s="37" t="inlineStr">
        <x:is>
          <x:t xml:space="preserve">Todo</x:t>
        </x:is>
      </x:c>
      <x:c r="N180" s="38" t="n"/>
      <x:c r="O180" s="38" t="n"/>
    </x:row>
    <x:row r="181" s="25" customFormat="1" ht="15" customHeight="1">
      <x:c r="A181" s="39" t="inlineStr">
        <x:is>
          <x:t xml:space="preserve">C175</x:t>
        </x:is>
      </x:c>
      <x:c r="B181" s="39" t="n">
        <x:v>4</x:v>
      </x:c>
      <x:c r="C181" s="40" t="n">
        <x:f>$B$4+23</x:f>
        <x:v>46344</x:v>
      </x:c>
      <x:c r="D181" s="39" t="inlineStr">
        <x:is>
          <x:t xml:space="preserve">Thứ 4</x:t>
        </x:is>
      </x:c>
      <x:c r="E181" s="41" t="inlineStr">
        <x:is>
          <x:t xml:space="preserve">Lê Văn Cường</x:t>
        </x:is>
      </x:c>
      <x:c r="F181" s="41" t="inlineStr">
        <x:is>
          <x:t xml:space="preserve">Frontend + E2E</x:t>
        </x:is>
      </x:c>
      <x:c r="G181" s="39" t="inlineStr">
        <x:is>
          <x:t xml:space="preserve">TASK-003</x:t>
        </x:is>
      </x:c>
      <x:c r="H181" s="41" t="inlineStr">
        <x:is>
          <x:t xml:space="preserve">feat/task-003-ci-e2e-nginx</x:t>
        </x:is>
      </x:c>
      <x:c r="I181" s="39" t="n">
        <x:v>5</x:v>
      </x:c>
      <x:c r="J181" s="41" t="inlineStr">
        <x:is>
          <x:t xml:space="preserve">perf(nginx): enable gzip and cache headers for static assets</x:t>
        </x:is>
      </x:c>
      <x:c r="K181" s="41" t="n"/>
      <x:c r="L181" s="41" t="n"/>
      <x:c r="M181" s="37" t="inlineStr">
        <x:is>
          <x:t xml:space="preserve">Todo</x:t>
        </x:is>
      </x:c>
      <x:c r="N181" s="38" t="n"/>
      <x:c r="O181" s="38" t="n"/>
    </x:row>
    <x:row r="182" s="25" customFormat="1" ht="15" customHeight="1">
      <x:c r="A182" s="39" t="inlineStr">
        <x:is>
          <x:t xml:space="preserve">C176</x:t>
        </x:is>
      </x:c>
      <x:c r="B182" s="39" t="n">
        <x:v>4</x:v>
      </x:c>
      <x:c r="C182" s="40" t="n">
        <x:f>$B$4+23</x:f>
        <x:v>46344</x:v>
      </x:c>
      <x:c r="D182" s="39" t="inlineStr">
        <x:is>
          <x:t xml:space="preserve">Thứ 4</x:t>
        </x:is>
      </x:c>
      <x:c r="E182" s="41" t="inlineStr">
        <x:is>
          <x:t xml:space="preserve">Lê Văn Cường</x:t>
        </x:is>
      </x:c>
      <x:c r="F182" s="41" t="inlineStr">
        <x:is>
          <x:t xml:space="preserve">Frontend + E2E</x:t>
        </x:is>
      </x:c>
      <x:c r="G182" s="39" t="inlineStr">
        <x:is>
          <x:t xml:space="preserve">TASK-003</x:t>
        </x:is>
      </x:c>
      <x:c r="H182" s="41" t="inlineStr">
        <x:is>
          <x:t xml:space="preserve">feat/task-003-ci-e2e-nginx</x:t>
        </x:is>
      </x:c>
      <x:c r="I182" s="39" t="n">
        <x:v>6</x:v>
      </x:c>
      <x:c r="J182" s="41" t="inlineStr">
        <x:is>
          <x:t xml:space="preserve">feat(nginx): use JSON access log format</x:t>
        </x:is>
      </x:c>
      <x:c r="K182" s="41" t="inlineStr">
        <x:is>
          <x:t xml:space="preserve">Để Loki đọc được</x:t>
        </x:is>
      </x:c>
      <x:c r="L182" s="41" t="n"/>
      <x:c r="M182" s="37" t="inlineStr">
        <x:is>
          <x:t xml:space="preserve">Todo</x:t>
        </x:is>
      </x:c>
      <x:c r="N182" s="38" t="n"/>
      <x:c r="O182" s="38" t="n"/>
    </x:row>
    <x:row r="183" s="25" customFormat="1" ht="15" customHeight="1">
      <x:c r="A183" s="39" t="inlineStr">
        <x:is>
          <x:t xml:space="preserve">C177</x:t>
        </x:is>
      </x:c>
      <x:c r="B183" s="39" t="n">
        <x:v>4</x:v>
      </x:c>
      <x:c r="C183" s="40" t="n">
        <x:f>$B$4+24</x:f>
        <x:v>46345</x:v>
      </x:c>
      <x:c r="D183" s="39" t="inlineStr">
        <x:is>
          <x:t xml:space="preserve">Thứ 5</x:t>
        </x:is>
      </x:c>
      <x:c r="E183" s="41" t="inlineStr">
        <x:is>
          <x:t xml:space="preserve">Lê Văn Cường</x:t>
        </x:is>
      </x:c>
      <x:c r="F183" s="41" t="inlineStr">
        <x:is>
          <x:t xml:space="preserve">Frontend + E2E</x:t>
        </x:is>
      </x:c>
      <x:c r="G183" s="39" t="inlineStr">
        <x:is>
          <x:t xml:space="preserve">TASK-003</x:t>
        </x:is>
      </x:c>
      <x:c r="H183" s="41" t="inlineStr">
        <x:is>
          <x:t xml:space="preserve">feat/task-003-ci-e2e-nginx</x:t>
        </x:is>
      </x:c>
      <x:c r="I183" s="39" t="n">
        <x:v>7</x:v>
      </x:c>
      <x:c r="J183" s="41" t="inlineStr">
        <x:is>
          <x:t xml:space="preserve">test(frontend): unit test API client</x:t>
        </x:is>
      </x:c>
      <x:c r="K183" s="41" t="n"/>
      <x:c r="L183" s="41" t="n"/>
      <x:c r="M183" s="37" t="inlineStr">
        <x:is>
          <x:t xml:space="preserve">Todo</x:t>
        </x:is>
      </x:c>
      <x:c r="N183" s="38" t="n"/>
      <x:c r="O183" s="38" t="n"/>
    </x:row>
    <x:row r="184" s="25" customFormat="1" ht="15" customHeight="1">
      <x:c r="A184" s="39" t="inlineStr">
        <x:is>
          <x:t xml:space="preserve">C178</x:t>
        </x:is>
      </x:c>
      <x:c r="B184" s="39" t="n">
        <x:v>4</x:v>
      </x:c>
      <x:c r="C184" s="40" t="n">
        <x:f>$B$4+24</x:f>
        <x:v>46345</x:v>
      </x:c>
      <x:c r="D184" s="39" t="inlineStr">
        <x:is>
          <x:t xml:space="preserve">Thứ 5</x:t>
        </x:is>
      </x:c>
      <x:c r="E184" s="41" t="inlineStr">
        <x:is>
          <x:t xml:space="preserve">Lê Văn Cường</x:t>
        </x:is>
      </x:c>
      <x:c r="F184" s="41" t="inlineStr">
        <x:is>
          <x:t xml:space="preserve">Frontend + E2E</x:t>
        </x:is>
      </x:c>
      <x:c r="G184" s="39" t="inlineStr">
        <x:is>
          <x:t xml:space="preserve">TASK-003</x:t>
        </x:is>
      </x:c>
      <x:c r="H184" s="41" t="inlineStr">
        <x:is>
          <x:t xml:space="preserve">feat/task-003-ci-e2e-nginx</x:t>
        </x:is>
      </x:c>
      <x:c r="I184" s="39" t="n">
        <x:v>8</x:v>
      </x:c>
      <x:c r="J184" s="41" t="inlineStr">
        <x:is>
          <x:t xml:space="preserve">chore(frontend): pin Node image and dependency versions</x:t>
        </x:is>
      </x:c>
      <x:c r="K184" s="41" t="n"/>
      <x:c r="L184" s="41" t="n"/>
      <x:c r="M184" s="37" t="inlineStr">
        <x:is>
          <x:t xml:space="preserve">Todo</x:t>
        </x:is>
      </x:c>
      <x:c r="N184" s="38" t="n"/>
      <x:c r="O184" s="38" t="n"/>
    </x:row>
    <x:row r="185" s="25" customFormat="1" ht="15" customHeight="1">
      <x:c r="A185" s="39" t="inlineStr">
        <x:is>
          <x:t xml:space="preserve">C179</x:t>
        </x:is>
      </x:c>
      <x:c r="B185" s="39" t="n">
        <x:v>4</x:v>
      </x:c>
      <x:c r="C185" s="40" t="n">
        <x:f>$B$4+25</x:f>
        <x:v>46346</x:v>
      </x:c>
      <x:c r="D185" s="39" t="inlineStr">
        <x:is>
          <x:t xml:space="preserve">Thứ 6</x:t>
        </x:is>
      </x:c>
      <x:c r="E185" s="41" t="inlineStr">
        <x:is>
          <x:t xml:space="preserve">Lê Văn Cường</x:t>
        </x:is>
      </x:c>
      <x:c r="F185" s="41" t="inlineStr">
        <x:is>
          <x:t xml:space="preserve">Frontend + E2E</x:t>
        </x:is>
      </x:c>
      <x:c r="G185" s="39" t="inlineStr">
        <x:is>
          <x:t xml:space="preserve">TASK-003</x:t>
        </x:is>
      </x:c>
      <x:c r="H185" s="41" t="inlineStr">
        <x:is>
          <x:t xml:space="preserve">feat/task-003-ci-e2e-nginx</x:t>
        </x:is>
      </x:c>
      <x:c r="I185" s="39" t="n">
        <x:v>9</x:v>
      </x:c>
      <x:c r="J185" s="41" t="inlineStr">
        <x:is>
          <x:t xml:space="preserve">feat(frontend): retry on network errors with limited backoff</x:t>
        </x:is>
      </x:c>
      <x:c r="K185" s="41" t="n"/>
      <x:c r="L185" s="41" t="n"/>
      <x:c r="M185" s="37" t="inlineStr">
        <x:is>
          <x:t xml:space="preserve">Todo</x:t>
        </x:is>
      </x:c>
      <x:c r="N185" s="38" t="n"/>
      <x:c r="O185" s="38" t="n"/>
    </x:row>
    <x:row r="186" s="25" customFormat="1" ht="15" customHeight="1">
      <x:c r="A186" s="39" t="inlineStr">
        <x:is>
          <x:t xml:space="preserve">C180</x:t>
        </x:is>
      </x:c>
      <x:c r="B186" s="39" t="n">
        <x:v>4</x:v>
      </x:c>
      <x:c r="C186" s="40" t="n">
        <x:f>$B$4+25</x:f>
        <x:v>46346</x:v>
      </x:c>
      <x:c r="D186" s="39" t="inlineStr">
        <x:is>
          <x:t xml:space="preserve">Thứ 6</x:t>
        </x:is>
      </x:c>
      <x:c r="E186" s="41" t="inlineStr">
        <x:is>
          <x:t xml:space="preserve">Lê Văn Cường</x:t>
        </x:is>
      </x:c>
      <x:c r="F186" s="41" t="inlineStr">
        <x:is>
          <x:t xml:space="preserve">Frontend + E2E</x:t>
        </x:is>
      </x:c>
      <x:c r="G186" s="39" t="inlineStr">
        <x:is>
          <x:t xml:space="preserve">TASK-003</x:t>
        </x:is>
      </x:c>
      <x:c r="H186" s="41" t="inlineStr">
        <x:is>
          <x:t xml:space="preserve">feat/task-003-ci-e2e-nginx</x:t>
        </x:is>
      </x:c>
      <x:c r="I186" s="39" t="n">
        <x:v>10</x:v>
      </x:c>
      <x:c r="J186" s="41" t="inlineStr">
        <x:is>
          <x:t xml:space="preserve">docs(report): add UI screenshots</x:t>
        </x:is>
      </x:c>
      <x:c r="K186" s="41" t="n"/>
      <x:c r="L186" s="41" t="n"/>
      <x:c r="M186" s="37" t="inlineStr">
        <x:is>
          <x:t xml:space="preserve">Todo</x:t>
        </x:is>
      </x:c>
      <x:c r="N186" s="38" t="n"/>
      <x:c r="O186" s="38" t="n"/>
    </x:row>
    <x:row r="187" s="25" customFormat="1" ht="15" customHeight="1">
      <x:c r="A187" s="39" t="inlineStr">
        <x:is>
          <x:t xml:space="preserve">C181</x:t>
        </x:is>
      </x:c>
      <x:c r="B187" s="39" t="n">
        <x:v>4</x:v>
      </x:c>
      <x:c r="C187" s="40" t="n">
        <x:f>$B$4+21</x:f>
        <x:v>46342</x:v>
      </x:c>
      <x:c r="D187" s="39" t="inlineStr">
        <x:is>
          <x:t xml:space="preserve">Thứ 2</x:t>
        </x:is>
      </x:c>
      <x:c r="E187" s="41" t="inlineStr">
        <x:is>
          <x:t xml:space="preserve">Nguyễn Việt Anh</x:t>
        </x:is>
      </x:c>
      <x:c r="F187" s="41" t="inlineStr">
        <x:is>
          <x:t xml:space="preserve">Release + độ tin cậy</x:t>
        </x:is>
      </x:c>
      <x:c r="G187" s="39" t="inlineStr">
        <x:is>
          <x:t xml:space="preserve">TASK-007</x:t>
        </x:is>
      </x:c>
      <x:c r="H187" s="41" t="inlineStr">
        <x:is>
          <x:t xml:space="preserve">feat/task-007-rehearsal</x:t>
        </x:is>
      </x:c>
      <x:c r="I187" s="39" t="n">
        <x:v>1</x:v>
      </x:c>
      <x:c r="J187" s="41" t="inlineStr">
        <x:is>
          <x:t xml:space="preserve">docs(evidence): add E15 latency report at 10 rps for 10 minutes</x:t>
        </x:is>
      </x:c>
      <x:c r="K187" s="41" t="n"/>
      <x:c r="L187" s="41" t="n"/>
      <x:c r="M187" s="37" t="inlineStr">
        <x:is>
          <x:t xml:space="preserve">Todo</x:t>
        </x:is>
      </x:c>
      <x:c r="N187" s="38" t="n"/>
      <x:c r="O187" s="38" t="n"/>
    </x:row>
    <x:row r="188" s="25" customFormat="1" ht="15" customHeight="1">
      <x:c r="A188" s="39" t="inlineStr">
        <x:is>
          <x:t xml:space="preserve">C182</x:t>
        </x:is>
      </x:c>
      <x:c r="B188" s="39" t="n">
        <x:v>4</x:v>
      </x:c>
      <x:c r="C188" s="40" t="n">
        <x:f>$B$4+21</x:f>
        <x:v>46342</x:v>
      </x:c>
      <x:c r="D188" s="39" t="inlineStr">
        <x:is>
          <x:t xml:space="preserve">Thứ 2</x:t>
        </x:is>
      </x:c>
      <x:c r="E188" s="41" t="inlineStr">
        <x:is>
          <x:t xml:space="preserve">Nguyễn Việt Anh</x:t>
        </x:is>
      </x:c>
      <x:c r="F188" s="41" t="inlineStr">
        <x:is>
          <x:t xml:space="preserve">Release + độ tin cậy</x:t>
        </x:is>
      </x:c>
      <x:c r="G188" s="39" t="inlineStr">
        <x:is>
          <x:t xml:space="preserve">TASK-007</x:t>
        </x:is>
      </x:c>
      <x:c r="H188" s="41" t="inlineStr">
        <x:is>
          <x:t xml:space="preserve">feat/task-007-rehearsal</x:t>
        </x:is>
      </x:c>
      <x:c r="I188" s="39" t="n">
        <x:v>2</x:v>
      </x:c>
      <x:c r="J188" s="41" t="inlineStr">
        <x:is>
          <x:t xml:space="preserve">docs(incidents): add rehearsal 1 notes</x:t>
        </x:is>
      </x:c>
      <x:c r="K188" s="41" t="inlineStr">
        <x:is>
          <x:t xml:space="preserve">Diễn tập lần 1 với cả nhóm</x:t>
        </x:is>
      </x:c>
      <x:c r="L188" s="41" t="inlineStr">
        <x:is>
          <x:t xml:space="preserve">Công: alert rules (T4)</x:t>
        </x:is>
      </x:c>
      <x:c r="M188" s="37" t="inlineStr">
        <x:is>
          <x:t xml:space="preserve">Todo</x:t>
        </x:is>
      </x:c>
      <x:c r="N188" s="38" t="n"/>
      <x:c r="O188" s="38" t="n"/>
    </x:row>
    <x:row r="189" s="25" customFormat="1" ht="15" customHeight="1">
      <x:c r="A189" s="39" t="inlineStr">
        <x:is>
          <x:t xml:space="preserve">C183</x:t>
        </x:is>
      </x:c>
      <x:c r="B189" s="39" t="n">
        <x:v>4</x:v>
      </x:c>
      <x:c r="C189" s="40" t="n">
        <x:f>$B$4+22</x:f>
        <x:v>46343</x:v>
      </x:c>
      <x:c r="D189" s="39" t="inlineStr">
        <x:is>
          <x:t xml:space="preserve">Thứ 3</x:t>
        </x:is>
      </x:c>
      <x:c r="E189" s="41" t="inlineStr">
        <x:is>
          <x:t xml:space="preserve">Nguyễn Việt Anh</x:t>
        </x:is>
      </x:c>
      <x:c r="F189" s="41" t="inlineStr">
        <x:is>
          <x:t xml:space="preserve">Release + độ tin cậy</x:t>
        </x:is>
      </x:c>
      <x:c r="G189" s="39" t="inlineStr">
        <x:is>
          <x:t xml:space="preserve">TASK-007</x:t>
        </x:is>
      </x:c>
      <x:c r="H189" s="41" t="inlineStr">
        <x:is>
          <x:t xml:space="preserve">feat/task-007-rehearsal</x:t>
        </x:is>
      </x:c>
      <x:c r="I189" s="39" t="n">
        <x:v>3</x:v>
      </x:c>
      <x:c r="J189" s="41" t="inlineStr">
        <x:is>
          <x:t xml:space="preserve">fix(scripts): address issues from rehearsal 1</x:t>
        </x:is>
      </x:c>
      <x:c r="K189" s="41" t="n"/>
      <x:c r="L189" s="41" t="n"/>
      <x:c r="M189" s="37" t="inlineStr">
        <x:is>
          <x:t xml:space="preserve">Todo</x:t>
        </x:is>
      </x:c>
      <x:c r="N189" s="38" t="n"/>
      <x:c r="O189" s="38" t="n"/>
    </x:row>
    <x:row r="190" s="25" customFormat="1" ht="15" customHeight="1">
      <x:c r="A190" s="39" t="inlineStr">
        <x:is>
          <x:t xml:space="preserve">C184</x:t>
        </x:is>
      </x:c>
      <x:c r="B190" s="39" t="n">
        <x:v>4</x:v>
      </x:c>
      <x:c r="C190" s="40" t="n">
        <x:f>$B$4+22</x:f>
        <x:v>46343</x:v>
      </x:c>
      <x:c r="D190" s="39" t="inlineStr">
        <x:is>
          <x:t xml:space="preserve">Thứ 3</x:t>
        </x:is>
      </x:c>
      <x:c r="E190" s="41" t="inlineStr">
        <x:is>
          <x:t xml:space="preserve">Nguyễn Việt Anh</x:t>
        </x:is>
      </x:c>
      <x:c r="F190" s="41" t="inlineStr">
        <x:is>
          <x:t xml:space="preserve">Release + độ tin cậy</x:t>
        </x:is>
      </x:c>
      <x:c r="G190" s="39" t="inlineStr">
        <x:is>
          <x:t xml:space="preserve">TASK-007</x:t>
        </x:is>
      </x:c>
      <x:c r="H190" s="41" t="inlineStr">
        <x:is>
          <x:t xml:space="preserve">feat/task-007-rehearsal</x:t>
        </x:is>
      </x:c>
      <x:c r="I190" s="39" t="n">
        <x:v>4</x:v>
      </x:c>
      <x:c r="J190" s="41" t="inlineStr">
        <x:is>
          <x:t xml:space="preserve">feat(scripts): measure rollback duration against 5 minute target</x:t>
        </x:is>
      </x:c>
      <x:c r="K190" s="41" t="n"/>
      <x:c r="L190" s="41" t="n"/>
      <x:c r="M190" s="37" t="inlineStr">
        <x:is>
          <x:t xml:space="preserve">Todo</x:t>
        </x:is>
      </x:c>
      <x:c r="N190" s="38" t="n"/>
      <x:c r="O190" s="38" t="n"/>
    </x:row>
    <x:row r="191" s="25" customFormat="1" ht="15" customHeight="1">
      <x:c r="A191" s="39" t="inlineStr">
        <x:is>
          <x:t xml:space="preserve">C185</x:t>
        </x:is>
      </x:c>
      <x:c r="B191" s="39" t="n">
        <x:v>4</x:v>
      </x:c>
      <x:c r="C191" s="40" t="n">
        <x:f>$B$4+23</x:f>
        <x:v>46344</x:v>
      </x:c>
      <x:c r="D191" s="39" t="inlineStr">
        <x:is>
          <x:t xml:space="preserve">Thứ 4</x:t>
        </x:is>
      </x:c>
      <x:c r="E191" s="41" t="inlineStr">
        <x:is>
          <x:t xml:space="preserve">Nguyễn Việt Anh</x:t>
        </x:is>
      </x:c>
      <x:c r="F191" s="41" t="inlineStr">
        <x:is>
          <x:t xml:space="preserve">Release + độ tin cậy</x:t>
        </x:is>
      </x:c>
      <x:c r="G191" s="39" t="inlineStr">
        <x:is>
          <x:t xml:space="preserve">TASK-007</x:t>
        </x:is>
      </x:c>
      <x:c r="H191" s="41" t="inlineStr">
        <x:is>
          <x:t xml:space="preserve">feat/task-007-rehearsal</x:t>
        </x:is>
      </x:c>
      <x:c r="I191" s="39" t="n">
        <x:v>5</x:v>
      </x:c>
      <x:c r="J191" s="41" t="inlineStr">
        <x:is>
          <x:t xml:space="preserve">test(scripts): cover rollback duration check</x:t>
        </x:is>
      </x:c>
      <x:c r="K191" s="41" t="n"/>
      <x:c r="L191" s="41" t="n"/>
      <x:c r="M191" s="37" t="inlineStr">
        <x:is>
          <x:t xml:space="preserve">Todo</x:t>
        </x:is>
      </x:c>
      <x:c r="N191" s="38" t="n"/>
      <x:c r="O191" s="38" t="n"/>
    </x:row>
    <x:row r="192" s="25" customFormat="1" ht="15" customHeight="1">
      <x:c r="A192" s="39" t="inlineStr">
        <x:is>
          <x:t xml:space="preserve">C186</x:t>
        </x:is>
      </x:c>
      <x:c r="B192" s="39" t="n">
        <x:v>4</x:v>
      </x:c>
      <x:c r="C192" s="40" t="n">
        <x:f>$B$4+23</x:f>
        <x:v>46344</x:v>
      </x:c>
      <x:c r="D192" s="39" t="inlineStr">
        <x:is>
          <x:t xml:space="preserve">Thứ 4</x:t>
        </x:is>
      </x:c>
      <x:c r="E192" s="41" t="inlineStr">
        <x:is>
          <x:t xml:space="preserve">Nguyễn Việt Anh</x:t>
        </x:is>
      </x:c>
      <x:c r="F192" s="41" t="inlineStr">
        <x:is>
          <x:t xml:space="preserve">Release + độ tin cậy</x:t>
        </x:is>
      </x:c>
      <x:c r="G192" s="39" t="inlineStr">
        <x:is>
          <x:t xml:space="preserve">TASK-007</x:t>
        </x:is>
      </x:c>
      <x:c r="H192" s="41" t="inlineStr">
        <x:is>
          <x:t xml:space="preserve">feat/task-007-rehearsal</x:t>
        </x:is>
      </x:c>
      <x:c r="I192" s="39" t="n">
        <x:v>6</x:v>
      </x:c>
      <x:c r="J192" s="41" t="inlineStr">
        <x:is>
          <x:t xml:space="preserve">docs(evidence): record E12 on demo host</x:t>
        </x:is>
      </x:c>
      <x:c r="K192" s="41" t="n"/>
      <x:c r="L192" s="41" t="n"/>
      <x:c r="M192" s="37" t="inlineStr">
        <x:is>
          <x:t xml:space="preserve">Todo</x:t>
        </x:is>
      </x:c>
      <x:c r="N192" s="38" t="n"/>
      <x:c r="O192" s="38" t="n"/>
    </x:row>
    <x:row r="193" s="25" customFormat="1" ht="15" customHeight="1">
      <x:c r="A193" s="39" t="inlineStr">
        <x:is>
          <x:t xml:space="preserve">C187</x:t>
        </x:is>
      </x:c>
      <x:c r="B193" s="39" t="n">
        <x:v>4</x:v>
      </x:c>
      <x:c r="C193" s="40" t="n">
        <x:f>$B$4+24</x:f>
        <x:v>46345</x:v>
      </x:c>
      <x:c r="D193" s="39" t="inlineStr">
        <x:is>
          <x:t xml:space="preserve">Thứ 5</x:t>
        </x:is>
      </x:c>
      <x:c r="E193" s="41" t="inlineStr">
        <x:is>
          <x:t xml:space="preserve">Nguyễn Việt Anh</x:t>
        </x:is>
      </x:c>
      <x:c r="F193" s="41" t="inlineStr">
        <x:is>
          <x:t xml:space="preserve">Release + độ tin cậy</x:t>
        </x:is>
      </x:c>
      <x:c r="G193" s="39" t="inlineStr">
        <x:is>
          <x:t xml:space="preserve">TASK-007</x:t>
        </x:is>
      </x:c>
      <x:c r="H193" s="41" t="inlineStr">
        <x:is>
          <x:t xml:space="preserve">feat/task-007-rehearsal</x:t>
        </x:is>
      </x:c>
      <x:c r="I193" s="39" t="n">
        <x:v>7</x:v>
      </x:c>
      <x:c r="J193" s="41" t="inlineStr">
        <x:is>
          <x:t xml:space="preserve">feat(ci): add repository_dispatch rollback trigger</x:t>
        </x:is>
      </x:c>
      <x:c r="K193" s="41" t="inlineStr">
        <x:is>
          <x:t xml:space="preserve">Tuỳ chọn: tự rollback từ alert</x:t>
        </x:is>
      </x:c>
      <x:c r="L193" s="41" t="n"/>
      <x:c r="M193" s="37" t="inlineStr">
        <x:is>
          <x:t xml:space="preserve">Todo</x:t>
        </x:is>
      </x:c>
      <x:c r="N193" s="38" t="n"/>
      <x:c r="O193" s="38" t="n"/>
    </x:row>
    <x:row r="194" s="25" customFormat="1" ht="15" customHeight="1">
      <x:c r="A194" s="39" t="inlineStr">
        <x:is>
          <x:t xml:space="preserve">C188</x:t>
        </x:is>
      </x:c>
      <x:c r="B194" s="39" t="n">
        <x:v>4</x:v>
      </x:c>
      <x:c r="C194" s="40" t="n">
        <x:f>$B$4+24</x:f>
        <x:v>46345</x:v>
      </x:c>
      <x:c r="D194" s="39" t="inlineStr">
        <x:is>
          <x:t xml:space="preserve">Thứ 5</x:t>
        </x:is>
      </x:c>
      <x:c r="E194" s="41" t="inlineStr">
        <x:is>
          <x:t xml:space="preserve">Nguyễn Việt Anh</x:t>
        </x:is>
      </x:c>
      <x:c r="F194" s="41" t="inlineStr">
        <x:is>
          <x:t xml:space="preserve">Release + độ tin cậy</x:t>
        </x:is>
      </x:c>
      <x:c r="G194" s="39" t="inlineStr">
        <x:is>
          <x:t xml:space="preserve">TASK-007</x:t>
        </x:is>
      </x:c>
      <x:c r="H194" s="41" t="inlineStr">
        <x:is>
          <x:t xml:space="preserve">feat/task-007-rehearsal</x:t>
        </x:is>
      </x:c>
      <x:c r="I194" s="39" t="n">
        <x:v>8</x:v>
      </x:c>
      <x:c r="J194" s="41" t="inlineStr">
        <x:is>
          <x:t xml:space="preserve">ci: add workflow handling rollback dispatch</x:t>
        </x:is>
      </x:c>
      <x:c r="K194" s="41" t="n"/>
      <x:c r="L194" s="41" t="n"/>
      <x:c r="M194" s="37" t="inlineStr">
        <x:is>
          <x:t xml:space="preserve">Todo</x:t>
        </x:is>
      </x:c>
      <x:c r="N194" s="38" t="n"/>
      <x:c r="O194" s="38" t="n"/>
    </x:row>
    <x:row r="195" s="25" customFormat="1" ht="15" customHeight="1">
      <x:c r="A195" s="39" t="inlineStr">
        <x:is>
          <x:t xml:space="preserve">C189</x:t>
        </x:is>
      </x:c>
      <x:c r="B195" s="39" t="n">
        <x:v>4</x:v>
      </x:c>
      <x:c r="C195" s="40" t="n">
        <x:f>$B$4+25</x:f>
        <x:v>46346</x:v>
      </x:c>
      <x:c r="D195" s="39" t="inlineStr">
        <x:is>
          <x:t xml:space="preserve">Thứ 6</x:t>
        </x:is>
      </x:c>
      <x:c r="E195" s="41" t="inlineStr">
        <x:is>
          <x:t xml:space="preserve">Nguyễn Việt Anh</x:t>
        </x:is>
      </x:c>
      <x:c r="F195" s="41" t="inlineStr">
        <x:is>
          <x:t xml:space="preserve">Release + độ tin cậy</x:t>
        </x:is>
      </x:c>
      <x:c r="G195" s="39" t="inlineStr">
        <x:is>
          <x:t xml:space="preserve">TASK-007</x:t>
        </x:is>
      </x:c>
      <x:c r="H195" s="41" t="inlineStr">
        <x:is>
          <x:t xml:space="preserve">feat/task-007-rehearsal</x:t>
        </x:is>
      </x:c>
      <x:c r="I195" s="39" t="n">
        <x:v>9</x:v>
      </x:c>
      <x:c r="J195" s="41" t="inlineStr">
        <x:is>
          <x:t xml:space="preserve">docs(incidents): add drill roles and checklist</x:t>
        </x:is>
      </x:c>
      <x:c r="K195" s="41" t="n"/>
      <x:c r="L195" s="41" t="n"/>
      <x:c r="M195" s="37" t="inlineStr">
        <x:is>
          <x:t xml:space="preserve">Todo</x:t>
        </x:is>
      </x:c>
      <x:c r="N195" s="38" t="n"/>
      <x:c r="O195" s="38" t="n"/>
    </x:row>
    <x:row r="196" s="25" customFormat="1" ht="15" customHeight="1">
      <x:c r="A196" s="39" t="inlineStr">
        <x:is>
          <x:t xml:space="preserve">C190</x:t>
        </x:is>
      </x:c>
      <x:c r="B196" s="39" t="n">
        <x:v>4</x:v>
      </x:c>
      <x:c r="C196" s="40" t="n">
        <x:f>$B$4+25</x:f>
        <x:v>46346</x:v>
      </x:c>
      <x:c r="D196" s="39" t="inlineStr">
        <x:is>
          <x:t xml:space="preserve">Thứ 6</x:t>
        </x:is>
      </x:c>
      <x:c r="E196" s="41" t="inlineStr">
        <x:is>
          <x:t xml:space="preserve">Nguyễn Việt Anh</x:t>
        </x:is>
      </x:c>
      <x:c r="F196" s="41" t="inlineStr">
        <x:is>
          <x:t xml:space="preserve">Release + độ tin cậy</x:t>
        </x:is>
      </x:c>
      <x:c r="G196" s="39" t="inlineStr">
        <x:is>
          <x:t xml:space="preserve">TASK-007</x:t>
        </x:is>
      </x:c>
      <x:c r="H196" s="41" t="inlineStr">
        <x:is>
          <x:t xml:space="preserve">feat/task-007-rehearsal</x:t>
        </x:is>
      </x:c>
      <x:c r="I196" s="39" t="n">
        <x:v>10</x:v>
      </x:c>
      <x:c r="J196" s="41" t="inlineStr">
        <x:is>
          <x:t xml:space="preserve">docs(evidence): record E11 alert timing from rehearsal</x:t>
        </x:is>
      </x:c>
      <x:c r="K196" s="41" t="n"/>
      <x:c r="L196" s="41" t="n"/>
      <x:c r="M196" s="37" t="inlineStr">
        <x:is>
          <x:t xml:space="preserve">Todo</x:t>
        </x:is>
      </x:c>
      <x:c r="N196" s="38" t="n"/>
      <x:c r="O196" s="38" t="n"/>
    </x:row>
    <x:row r="197" s="25" customFormat="1" ht="15" customHeight="1">
      <x:c r="A197" s="39" t="inlineStr">
        <x:is>
          <x:t xml:space="preserve">C191</x:t>
        </x:is>
      </x:c>
      <x:c r="B197" s="39" t="n">
        <x:v>4</x:v>
      </x:c>
      <x:c r="C197" s="40" t="n">
        <x:f>$B$4+21</x:f>
        <x:v>46342</x:v>
      </x:c>
      <x:c r="D197" s="39" t="inlineStr">
        <x:is>
          <x:t xml:space="preserve">Thứ 2</x:t>
        </x:is>
      </x:c>
      <x:c r="E197" s="41" t="inlineStr">
        <x:is>
          <x:t xml:space="preserve">Vũ Thành Công</x:t>
        </x:is>
      </x:c>
      <x:c r="F197" s="41" t="inlineStr">
        <x:is>
          <x:t xml:space="preserve">Observability</x:t>
        </x:is>
      </x:c>
      <x:c r="G197" s="39" t="inlineStr">
        <x:is>
          <x:t xml:space="preserve">TASK-006</x:t>
        </x:is>
      </x:c>
      <x:c r="H197" s="41" t="inlineStr">
        <x:is>
          <x:t xml:space="preserve">feat/task-006-alert-rules</x:t>
        </x:is>
      </x:c>
      <x:c r="I197" s="39" t="n">
        <x:v>1</x:v>
      </x:c>
      <x:c r="J197" s="41" t="inlineStr">
        <x:is>
          <x:t xml:space="preserve">obs(alerts): add HighErrorRate rule</x:t>
        </x:is>
      </x:c>
      <x:c r="K197" s="41" t="inlineStr">
        <x:is>
          <x:t xml:space="preserve">5xx &gt; 5%, ≥ 100 request, 2 phút</x:t>
        </x:is>
      </x:c>
      <x:c r="L197" s="41" t="n"/>
      <x:c r="M197" s="37" t="inlineStr">
        <x:is>
          <x:t xml:space="preserve">Todo</x:t>
        </x:is>
      </x:c>
      <x:c r="N197" s="38" t="n"/>
      <x:c r="O197" s="38" t="n"/>
    </x:row>
    <x:row r="198" s="25" customFormat="1" ht="15" customHeight="1">
      <x:c r="A198" s="39" t="inlineStr">
        <x:is>
          <x:t xml:space="preserve">C192</x:t>
        </x:is>
      </x:c>
      <x:c r="B198" s="39" t="n">
        <x:v>4</x:v>
      </x:c>
      <x:c r="C198" s="40" t="n">
        <x:f>$B$4+21</x:f>
        <x:v>46342</x:v>
      </x:c>
      <x:c r="D198" s="39" t="inlineStr">
        <x:is>
          <x:t xml:space="preserve">Thứ 2</x:t>
        </x:is>
      </x:c>
      <x:c r="E198" s="41" t="inlineStr">
        <x:is>
          <x:t xml:space="preserve">Vũ Thành Công</x:t>
        </x:is>
      </x:c>
      <x:c r="F198" s="41" t="inlineStr">
        <x:is>
          <x:t xml:space="preserve">Observability</x:t>
        </x:is>
      </x:c>
      <x:c r="G198" s="39" t="inlineStr">
        <x:is>
          <x:t xml:space="preserve">TASK-006</x:t>
        </x:is>
      </x:c>
      <x:c r="H198" s="41" t="inlineStr">
        <x:is>
          <x:t xml:space="preserve">feat/task-006-alert-rules</x:t>
        </x:is>
      </x:c>
      <x:c r="I198" s="39" t="n">
        <x:v>2</x:v>
      </x:c>
      <x:c r="J198" s="41" t="inlineStr">
        <x:is>
          <x:t xml:space="preserve">test(alerts): promtool test for HighErrorRate</x:t>
        </x:is>
      </x:c>
      <x:c r="K198" s="41" t="n"/>
      <x:c r="L198" s="41" t="n"/>
      <x:c r="M198" s="37" t="inlineStr">
        <x:is>
          <x:t xml:space="preserve">Todo</x:t>
        </x:is>
      </x:c>
      <x:c r="N198" s="38" t="n"/>
      <x:c r="O198" s="38" t="n"/>
    </x:row>
    <x:row r="199" s="25" customFormat="1" ht="15" customHeight="1">
      <x:c r="A199" s="39" t="inlineStr">
        <x:is>
          <x:t xml:space="preserve">C193</x:t>
        </x:is>
      </x:c>
      <x:c r="B199" s="39" t="n">
        <x:v>4</x:v>
      </x:c>
      <x:c r="C199" s="40" t="n">
        <x:f>$B$4+22</x:f>
        <x:v>46343</x:v>
      </x:c>
      <x:c r="D199" s="39" t="inlineStr">
        <x:is>
          <x:t xml:space="preserve">Thứ 3</x:t>
        </x:is>
      </x:c>
      <x:c r="E199" s="41" t="inlineStr">
        <x:is>
          <x:t xml:space="preserve">Vũ Thành Công</x:t>
        </x:is>
      </x:c>
      <x:c r="F199" s="41" t="inlineStr">
        <x:is>
          <x:t xml:space="preserve">Observability</x:t>
        </x:is>
      </x:c>
      <x:c r="G199" s="39" t="inlineStr">
        <x:is>
          <x:t xml:space="preserve">TASK-006</x:t>
        </x:is>
      </x:c>
      <x:c r="H199" s="41" t="inlineStr">
        <x:is>
          <x:t xml:space="preserve">feat/task-006-alert-rules</x:t>
        </x:is>
      </x:c>
      <x:c r="I199" s="39" t="n">
        <x:v>3</x:v>
      </x:c>
      <x:c r="J199" s="41" t="inlineStr">
        <x:is>
          <x:t xml:space="preserve">obs(alerts): add ApiProbeDown rule</x:t>
        </x:is>
      </x:c>
      <x:c r="K199" s="41" t="n"/>
      <x:c r="L199" s="41" t="n"/>
      <x:c r="M199" s="37" t="inlineStr">
        <x:is>
          <x:t xml:space="preserve">Todo</x:t>
        </x:is>
      </x:c>
      <x:c r="N199" s="38" t="n"/>
      <x:c r="O199" s="38" t="n"/>
    </x:row>
    <x:row r="200" s="25" customFormat="1" ht="15" customHeight="1">
      <x:c r="A200" s="39" t="inlineStr">
        <x:is>
          <x:t xml:space="preserve">C194</x:t>
        </x:is>
      </x:c>
      <x:c r="B200" s="39" t="n">
        <x:v>4</x:v>
      </x:c>
      <x:c r="C200" s="40" t="n">
        <x:f>$B$4+22</x:f>
        <x:v>46343</x:v>
      </x:c>
      <x:c r="D200" s="39" t="inlineStr">
        <x:is>
          <x:t xml:space="preserve">Thứ 3</x:t>
        </x:is>
      </x:c>
      <x:c r="E200" s="41" t="inlineStr">
        <x:is>
          <x:t xml:space="preserve">Vũ Thành Công</x:t>
        </x:is>
      </x:c>
      <x:c r="F200" s="41" t="inlineStr">
        <x:is>
          <x:t xml:space="preserve">Observability</x:t>
        </x:is>
      </x:c>
      <x:c r="G200" s="39" t="inlineStr">
        <x:is>
          <x:t xml:space="preserve">TASK-006</x:t>
        </x:is>
      </x:c>
      <x:c r="H200" s="41" t="inlineStr">
        <x:is>
          <x:t xml:space="preserve">feat/task-006-alert-rules</x:t>
        </x:is>
      </x:c>
      <x:c r="I200" s="39" t="n">
        <x:v>4</x:v>
      </x:c>
      <x:c r="J200" s="41" t="inlineStr">
        <x:is>
          <x:t xml:space="preserve">test(alerts): promtool test for ApiProbeDown</x:t>
        </x:is>
      </x:c>
      <x:c r="K200" s="41" t="n"/>
      <x:c r="L200" s="41" t="n"/>
      <x:c r="M200" s="37" t="inlineStr">
        <x:is>
          <x:t xml:space="preserve">Todo</x:t>
        </x:is>
      </x:c>
      <x:c r="N200" s="38" t="n"/>
      <x:c r="O200" s="38" t="n"/>
    </x:row>
    <x:row r="201" s="25" customFormat="1" ht="15" customHeight="1">
      <x:c r="A201" s="39" t="inlineStr">
        <x:is>
          <x:t xml:space="preserve">C195</x:t>
        </x:is>
      </x:c>
      <x:c r="B201" s="39" t="n">
        <x:v>4</x:v>
      </x:c>
      <x:c r="C201" s="40" t="n">
        <x:f>$B$4+23</x:f>
        <x:v>46344</x:v>
      </x:c>
      <x:c r="D201" s="39" t="inlineStr">
        <x:is>
          <x:t xml:space="preserve">Thứ 4</x:t>
        </x:is>
      </x:c>
      <x:c r="E201" s="41" t="inlineStr">
        <x:is>
          <x:t xml:space="preserve">Vũ Thành Công</x:t>
        </x:is>
      </x:c>
      <x:c r="F201" s="41" t="inlineStr">
        <x:is>
          <x:t xml:space="preserve">Observability</x:t>
        </x:is>
      </x:c>
      <x:c r="G201" s="39" t="inlineStr">
        <x:is>
          <x:t xml:space="preserve">TASK-006</x:t>
        </x:is>
      </x:c>
      <x:c r="H201" s="41" t="inlineStr">
        <x:is>
          <x:t xml:space="preserve">feat/task-006-alert-rules</x:t>
        </x:is>
      </x:c>
      <x:c r="I201" s="39" t="n">
        <x:v>5</x:v>
      </x:c>
      <x:c r="J201" s="41" t="inlineStr">
        <x:is>
          <x:t xml:space="preserve">obs(alerts): add HighLatencyP95 rule</x:t>
        </x:is>
      </x:c>
      <x:c r="K201" s="41" t="n"/>
      <x:c r="L201" s="41" t="n"/>
      <x:c r="M201" s="37" t="inlineStr">
        <x:is>
          <x:t xml:space="preserve">Todo</x:t>
        </x:is>
      </x:c>
      <x:c r="N201" s="38" t="n"/>
      <x:c r="O201" s="38" t="n"/>
    </x:row>
    <x:row r="202" s="25" customFormat="1" ht="23.850000381469727" customHeight="1">
      <x:c r="A202" s="39" t="inlineStr">
        <x:is>
          <x:t xml:space="preserve">C196</x:t>
        </x:is>
      </x:c>
      <x:c r="B202" s="39" t="n">
        <x:v>4</x:v>
      </x:c>
      <x:c r="C202" s="40" t="n">
        <x:f>$B$4+23</x:f>
        <x:v>46344</x:v>
      </x:c>
      <x:c r="D202" s="39" t="inlineStr">
        <x:is>
          <x:t xml:space="preserve">Thứ 4</x:t>
        </x:is>
      </x:c>
      <x:c r="E202" s="41" t="inlineStr">
        <x:is>
          <x:t xml:space="preserve">Vũ Thành Công</x:t>
        </x:is>
      </x:c>
      <x:c r="F202" s="41" t="inlineStr">
        <x:is>
          <x:t xml:space="preserve">Observability</x:t>
        </x:is>
      </x:c>
      <x:c r="G202" s="39" t="inlineStr">
        <x:is>
          <x:t xml:space="preserve">TASK-006</x:t>
        </x:is>
      </x:c>
      <x:c r="H202" s="41" t="inlineStr">
        <x:is>
          <x:t xml:space="preserve">feat/task-006-alert-rules</x:t>
        </x:is>
      </x:c>
      <x:c r="I202" s="39" t="n">
        <x:v>6</x:v>
      </x:c>
      <x:c r="J202" s="41" t="inlineStr">
        <x:is>
          <x:t xml:space="preserve">obs(alertmanager): add routing, grouping and message template</x:t>
        </x:is>
      </x:c>
      <x:c r="K202" s="41" t="inlineStr">
        <x:is>
          <x:t xml:space="preserve">Tin nhắn có version và link Grafana</x:t>
        </x:is>
      </x:c>
      <x:c r="L202" s="41" t="inlineStr">
        <x:is>
          <x:t xml:space="preserve">Hoàng Anh: Alertmanager (T4)</x:t>
        </x:is>
      </x:c>
      <x:c r="M202" s="37" t="inlineStr">
        <x:is>
          <x:t xml:space="preserve">Todo</x:t>
        </x:is>
      </x:c>
      <x:c r="N202" s="38" t="n"/>
      <x:c r="O202" s="38" t="n"/>
    </x:row>
    <x:row r="203" s="25" customFormat="1" ht="15" customHeight="1">
      <x:c r="A203" s="39" t="inlineStr">
        <x:is>
          <x:t xml:space="preserve">C197</x:t>
        </x:is>
      </x:c>
      <x:c r="B203" s="39" t="n">
        <x:v>4</x:v>
      </x:c>
      <x:c r="C203" s="40" t="n">
        <x:f>$B$4+24</x:f>
        <x:v>46345</x:v>
      </x:c>
      <x:c r="D203" s="39" t="inlineStr">
        <x:is>
          <x:t xml:space="preserve">Thứ 5</x:t>
        </x:is>
      </x:c>
      <x:c r="E203" s="41" t="inlineStr">
        <x:is>
          <x:t xml:space="preserve">Vũ Thành Công</x:t>
        </x:is>
      </x:c>
      <x:c r="F203" s="41" t="inlineStr">
        <x:is>
          <x:t xml:space="preserve">Observability</x:t>
        </x:is>
      </x:c>
      <x:c r="G203" s="39" t="inlineStr">
        <x:is>
          <x:t xml:space="preserve">TASK-006</x:t>
        </x:is>
      </x:c>
      <x:c r="H203" s="41" t="inlineStr">
        <x:is>
          <x:t xml:space="preserve">feat/task-006-alert-rules</x:t>
        </x:is>
      </x:c>
      <x:c r="I203" s="39" t="n">
        <x:v>7</x:v>
      </x:c>
      <x:c r="J203" s="41" t="inlineStr">
        <x:is>
          <x:t xml:space="preserve">docs(evidence): record E16 stop-API probe test</x:t>
        </x:is>
      </x:c>
      <x:c r="K203" s="41" t="n"/>
      <x:c r="L203" s="41" t="n"/>
      <x:c r="M203" s="37" t="inlineStr">
        <x:is>
          <x:t xml:space="preserve">Todo</x:t>
        </x:is>
      </x:c>
      <x:c r="N203" s="38" t="n"/>
      <x:c r="O203" s="38" t="n"/>
    </x:row>
    <x:row r="204" s="25" customFormat="1" ht="15" customHeight="1">
      <x:c r="A204" s="39" t="inlineStr">
        <x:is>
          <x:t xml:space="preserve">C198</x:t>
        </x:is>
      </x:c>
      <x:c r="B204" s="39" t="n">
        <x:v>4</x:v>
      </x:c>
      <x:c r="C204" s="40" t="n">
        <x:f>$B$4+24</x:f>
        <x:v>46345</x:v>
      </x:c>
      <x:c r="D204" s="39" t="inlineStr">
        <x:is>
          <x:t xml:space="preserve">Thứ 5</x:t>
        </x:is>
      </x:c>
      <x:c r="E204" s="41" t="inlineStr">
        <x:is>
          <x:t xml:space="preserve">Vũ Thành Công</x:t>
        </x:is>
      </x:c>
      <x:c r="F204" s="41" t="inlineStr">
        <x:is>
          <x:t xml:space="preserve">Observability</x:t>
        </x:is>
      </x:c>
      <x:c r="G204" s="39" t="inlineStr">
        <x:is>
          <x:t xml:space="preserve">TASK-006</x:t>
        </x:is>
      </x:c>
      <x:c r="H204" s="41" t="inlineStr">
        <x:is>
          <x:t xml:space="preserve">feat/task-006-alert-rules</x:t>
        </x:is>
      </x:c>
      <x:c r="I204" s="39" t="n">
        <x:v>8</x:v>
      </x:c>
      <x:c r="J204" s="41" t="inlineStr">
        <x:is>
          <x:t xml:space="preserve">docs(evidence): record E09 dashboard to trace to log walk</x:t>
        </x:is>
      </x:c>
      <x:c r="K204" s="41" t="inlineStr">
        <x:is>
          <x:t xml:space="preserve">Ảnh chụp + query</x:t>
        </x:is>
      </x:c>
      <x:c r="L204" s="41" t="n"/>
      <x:c r="M204" s="37" t="inlineStr">
        <x:is>
          <x:t xml:space="preserve">Todo</x:t>
        </x:is>
      </x:c>
      <x:c r="N204" s="38" t="n"/>
      <x:c r="O204" s="38" t="n"/>
    </x:row>
    <x:row r="205" s="25" customFormat="1" ht="15" customHeight="1">
      <x:c r="A205" s="39" t="inlineStr">
        <x:is>
          <x:t xml:space="preserve">C199</x:t>
        </x:is>
      </x:c>
      <x:c r="B205" s="39" t="n">
        <x:v>4</x:v>
      </x:c>
      <x:c r="C205" s="40" t="n">
        <x:f>$B$4+25</x:f>
        <x:v>46346</x:v>
      </x:c>
      <x:c r="D205" s="39" t="inlineStr">
        <x:is>
          <x:t xml:space="preserve">Thứ 6</x:t>
        </x:is>
      </x:c>
      <x:c r="E205" s="41" t="inlineStr">
        <x:is>
          <x:t xml:space="preserve">Vũ Thành Công</x:t>
        </x:is>
      </x:c>
      <x:c r="F205" s="41" t="inlineStr">
        <x:is>
          <x:t xml:space="preserve">Observability</x:t>
        </x:is>
      </x:c>
      <x:c r="G205" s="39" t="inlineStr">
        <x:is>
          <x:t xml:space="preserve">TASK-006</x:t>
        </x:is>
      </x:c>
      <x:c r="H205" s="41" t="inlineStr">
        <x:is>
          <x:t xml:space="preserve">feat/task-006-alert-rules</x:t>
        </x:is>
      </x:c>
      <x:c r="I205" s="39" t="n">
        <x:v>9</x:v>
      </x:c>
      <x:c r="J205" s="41" t="inlineStr">
        <x:is>
          <x:t xml:space="preserve">docs(telemetry): add alert runbook entries</x:t>
        </x:is>
      </x:c>
      <x:c r="K205" s="41" t="inlineStr">
        <x:is>
          <x:t xml:space="preserve">Mỗi alert cần kiểm tra gì</x:t>
        </x:is>
      </x:c>
      <x:c r="L205" s="41" t="n"/>
      <x:c r="M205" s="37" t="inlineStr">
        <x:is>
          <x:t xml:space="preserve">Todo</x:t>
        </x:is>
      </x:c>
      <x:c r="N205" s="38" t="n"/>
      <x:c r="O205" s="38" t="n"/>
    </x:row>
    <x:row r="206" s="25" customFormat="1" ht="15" customHeight="1">
      <x:c r="A206" s="39" t="inlineStr">
        <x:is>
          <x:t xml:space="preserve">C200</x:t>
        </x:is>
      </x:c>
      <x:c r="B206" s="39" t="n">
        <x:v>4</x:v>
      </x:c>
      <x:c r="C206" s="40" t="n">
        <x:f>$B$4+25</x:f>
        <x:v>46346</x:v>
      </x:c>
      <x:c r="D206" s="39" t="inlineStr">
        <x:is>
          <x:t xml:space="preserve">Thứ 6</x:t>
        </x:is>
      </x:c>
      <x:c r="E206" s="41" t="inlineStr">
        <x:is>
          <x:t xml:space="preserve">Vũ Thành Công</x:t>
        </x:is>
      </x:c>
      <x:c r="F206" s="41" t="inlineStr">
        <x:is>
          <x:t xml:space="preserve">Observability</x:t>
        </x:is>
      </x:c>
      <x:c r="G206" s="39" t="inlineStr">
        <x:is>
          <x:t xml:space="preserve">TASK-006</x:t>
        </x:is>
      </x:c>
      <x:c r="H206" s="41" t="inlineStr">
        <x:is>
          <x:t xml:space="preserve">feat/task-006-alert-rules</x:t>
        </x:is>
      </x:c>
      <x:c r="I206" s="39" t="n">
        <x:v>10</x:v>
      </x:c>
      <x:c r="J206" s="41" t="inlineStr">
        <x:is>
          <x:t xml:space="preserve">fix(alerts): tune thresholds after rehearsal 1</x:t>
        </x:is>
      </x:c>
      <x:c r="K206" s="41" t="n"/>
      <x:c r="L206" s="41" t="inlineStr">
        <x:is>
          <x:t xml:space="preserve">Việt Anh: rehearsal 1</x:t>
        </x:is>
      </x:c>
      <x:c r="M206" s="37" t="inlineStr">
        <x:is>
          <x:t xml:space="preserve">Todo</x:t>
        </x:is>
      </x:c>
      <x:c r="N206" s="38" t="n"/>
      <x:c r="O206" s="38" t="n"/>
    </x:row>
    <x:row r="207" s="25" customFormat="1" ht="23.850000381469727" customHeight="1">
      <x:c r="A207" s="34" t="inlineStr">
        <x:is>
          <x:t xml:space="preserve">C201</x:t>
        </x:is>
      </x:c>
      <x:c r="B207" s="34" t="n">
        <x:v>5</x:v>
      </x:c>
      <x:c r="C207" s="35" t="n">
        <x:f>$B$4+28</x:f>
        <x:v>46349</x:v>
      </x:c>
      <x:c r="D207" s="34" t="inlineStr">
        <x:is>
          <x:t xml:space="preserve">Thứ 2</x:t>
        </x:is>
      </x:c>
      <x:c r="E207" s="36" t="inlineStr">
        <x:is>
          <x:t xml:space="preserve">Nguyễn Mai Hoàng Anh</x:t>
        </x:is>
      </x:c>
      <x:c r="F207" s="36" t="inlineStr">
        <x:is>
          <x:t xml:space="preserve">DevOps — CI/CD + hạ tầng monitoring</x:t>
        </x:is>
      </x:c>
      <x:c r="G207" s="34" t="inlineStr">
        <x:is>
          <x:t xml:space="preserve">TASK-004</x:t>
        </x:is>
      </x:c>
      <x:c r="H207" s="36" t="inlineStr">
        <x:is>
          <x:t xml:space="preserve">chore/task-004-polish-evidence</x:t>
        </x:is>
      </x:c>
      <x:c r="I207" s="34" t="n">
        <x:v>1</x:v>
      </x:c>
      <x:c r="J207" s="36" t="inlineStr">
        <x:is>
          <x:t xml:space="preserve">ci: enable buildx GitHub Actions cache for images</x:t>
        </x:is>
      </x:c>
      <x:c r="K207" s="36" t="inlineStr">
        <x:is>
          <x:t xml:space="preserve">Build image nhanh hơn</x:t>
        </x:is>
      </x:c>
      <x:c r="L207" s="36" t="n"/>
      <x:c r="M207" s="37" t="inlineStr">
        <x:is>
          <x:t xml:space="preserve">Todo</x:t>
        </x:is>
      </x:c>
      <x:c r="N207" s="38" t="n"/>
      <x:c r="O207" s="38" t="n"/>
    </x:row>
    <x:row r="208" s="25" customFormat="1" ht="23.850000381469727" customHeight="1">
      <x:c r="A208" s="34" t="inlineStr">
        <x:is>
          <x:t xml:space="preserve">C202</x:t>
        </x:is>
      </x:c>
      <x:c r="B208" s="34" t="n">
        <x:v>5</x:v>
      </x:c>
      <x:c r="C208" s="35" t="n">
        <x:f>$B$4+28</x:f>
        <x:v>46349</x:v>
      </x:c>
      <x:c r="D208" s="34" t="inlineStr">
        <x:is>
          <x:t xml:space="preserve">Thứ 2</x:t>
        </x:is>
      </x:c>
      <x:c r="E208" s="36" t="inlineStr">
        <x:is>
          <x:t xml:space="preserve">Nguyễn Mai Hoàng Anh</x:t>
        </x:is>
      </x:c>
      <x:c r="F208" s="36" t="inlineStr">
        <x:is>
          <x:t xml:space="preserve">DevOps — CI/CD + hạ tầng monitoring</x:t>
        </x:is>
      </x:c>
      <x:c r="G208" s="34" t="inlineStr">
        <x:is>
          <x:t xml:space="preserve">TASK-004</x:t>
        </x:is>
      </x:c>
      <x:c r="H208" s="36" t="inlineStr">
        <x:is>
          <x:t xml:space="preserve">chore/task-004-polish-evidence</x:t>
        </x:is>
      </x:c>
      <x:c r="I208" s="34" t="n">
        <x:v>2</x:v>
      </x:c>
      <x:c r="J208" s="36" t="inlineStr">
        <x:is>
          <x:t xml:space="preserve">ci: fail Trivy scan on CRITICAL vulnerabilities</x:t>
        </x:is>
      </x:c>
      <x:c r="K208" s="36" t="inlineStr">
        <x:is>
          <x:t xml:space="preserve">Chuyển từ báo cáo sang chặn</x:t>
        </x:is>
      </x:c>
      <x:c r="L208" s="36" t="n"/>
      <x:c r="M208" s="37" t="inlineStr">
        <x:is>
          <x:t xml:space="preserve">Todo</x:t>
        </x:is>
      </x:c>
      <x:c r="N208" s="38" t="n"/>
      <x:c r="O208" s="38" t="n"/>
    </x:row>
    <x:row r="209" s="25" customFormat="1" ht="23.850000381469727" customHeight="1">
      <x:c r="A209" s="34" t="inlineStr">
        <x:is>
          <x:t xml:space="preserve">C203</x:t>
        </x:is>
      </x:c>
      <x:c r="B209" s="34" t="n">
        <x:v>5</x:v>
      </x:c>
      <x:c r="C209" s="35" t="n">
        <x:f>$B$4+29</x:f>
        <x:v>46350</x:v>
      </x:c>
      <x:c r="D209" s="34" t="inlineStr">
        <x:is>
          <x:t xml:space="preserve">Thứ 3</x:t>
        </x:is>
      </x:c>
      <x:c r="E209" s="36" t="inlineStr">
        <x:is>
          <x:t xml:space="preserve">Nguyễn Mai Hoàng Anh</x:t>
        </x:is>
      </x:c>
      <x:c r="F209" s="36" t="inlineStr">
        <x:is>
          <x:t xml:space="preserve">DevOps — CI/CD + hạ tầng monitoring</x:t>
        </x:is>
      </x:c>
      <x:c r="G209" s="34" t="inlineStr">
        <x:is>
          <x:t xml:space="preserve">TASK-004</x:t>
        </x:is>
      </x:c>
      <x:c r="H209" s="36" t="inlineStr">
        <x:is>
          <x:t xml:space="preserve">chore/task-004-polish-evidence</x:t>
        </x:is>
      </x:c>
      <x:c r="I209" s="34" t="n">
        <x:v>3</x:v>
      </x:c>
      <x:c r="J209" s="36" t="inlineStr">
        <x:is>
          <x:t xml:space="preserve">deploy: pin observability image versions</x:t>
        </x:is>
      </x:c>
      <x:c r="K209" s="36" t="inlineStr">
        <x:is>
          <x:t xml:space="preserve">Không dùng tag latest</x:t>
        </x:is>
      </x:c>
      <x:c r="L209" s="36" t="n"/>
      <x:c r="M209" s="37" t="inlineStr">
        <x:is>
          <x:t xml:space="preserve">Todo</x:t>
        </x:is>
      </x:c>
      <x:c r="N209" s="38" t="n"/>
      <x:c r="O209" s="38" t="n"/>
    </x:row>
    <x:row r="210" s="25" customFormat="1" ht="23.850000381469727" customHeight="1">
      <x:c r="A210" s="34" t="inlineStr">
        <x:is>
          <x:t xml:space="preserve">C204</x:t>
        </x:is>
      </x:c>
      <x:c r="B210" s="34" t="n">
        <x:v>5</x:v>
      </x:c>
      <x:c r="C210" s="35" t="n">
        <x:f>$B$4+29</x:f>
        <x:v>46350</x:v>
      </x:c>
      <x:c r="D210" s="34" t="inlineStr">
        <x:is>
          <x:t xml:space="preserve">Thứ 3</x:t>
        </x:is>
      </x:c>
      <x:c r="E210" s="36" t="inlineStr">
        <x:is>
          <x:t xml:space="preserve">Nguyễn Mai Hoàng Anh</x:t>
        </x:is>
      </x:c>
      <x:c r="F210" s="36" t="inlineStr">
        <x:is>
          <x:t xml:space="preserve">DevOps — CI/CD + hạ tầng monitoring</x:t>
        </x:is>
      </x:c>
      <x:c r="G210" s="34" t="inlineStr">
        <x:is>
          <x:t xml:space="preserve">TASK-004</x:t>
        </x:is>
      </x:c>
      <x:c r="H210" s="36" t="inlineStr">
        <x:is>
          <x:t xml:space="preserve">chore/task-004-polish-evidence</x:t>
        </x:is>
      </x:c>
      <x:c r="I210" s="34" t="n">
        <x:v>4</x:v>
      </x:c>
      <x:c r="J210" s="36" t="inlineStr">
        <x:is>
          <x:t xml:space="preserve">ci: add workflow collecting evidence artifacts</x:t>
        </x:is>
      </x:c>
      <x:c r="K210" s="36" t="inlineStr">
        <x:is>
          <x:t xml:space="preserve">Gom manifest, log, kết quả test vào một artifact</x:t>
        </x:is>
      </x:c>
      <x:c r="L210" s="36" t="n"/>
      <x:c r="M210" s="37" t="inlineStr">
        <x:is>
          <x:t xml:space="preserve">Todo</x:t>
        </x:is>
      </x:c>
      <x:c r="N210" s="38" t="n"/>
      <x:c r="O210" s="38" t="n"/>
    </x:row>
    <x:row r="211" s="25" customFormat="1" ht="23.850000381469727" customHeight="1">
      <x:c r="A211" s="34" t="inlineStr">
        <x:is>
          <x:t xml:space="preserve">C205</x:t>
        </x:is>
      </x:c>
      <x:c r="B211" s="34" t="n">
        <x:v>5</x:v>
      </x:c>
      <x:c r="C211" s="35" t="n">
        <x:f>$B$4+30</x:f>
        <x:v>46351</x:v>
      </x:c>
      <x:c r="D211" s="34" t="inlineStr">
        <x:is>
          <x:t xml:space="preserve">Thứ 4</x:t>
        </x:is>
      </x:c>
      <x:c r="E211" s="36" t="inlineStr">
        <x:is>
          <x:t xml:space="preserve">Nguyễn Mai Hoàng Anh</x:t>
        </x:is>
      </x:c>
      <x:c r="F211" s="36" t="inlineStr">
        <x:is>
          <x:t xml:space="preserve">DevOps — CI/CD + hạ tầng monitoring</x:t>
        </x:is>
      </x:c>
      <x:c r="G211" s="34" t="inlineStr">
        <x:is>
          <x:t xml:space="preserve">TASK-004</x:t>
        </x:is>
      </x:c>
      <x:c r="H211" s="36" t="inlineStr">
        <x:is>
          <x:t xml:space="preserve">chore/task-004-polish-evidence</x:t>
        </x:is>
      </x:c>
      <x:c r="I211" s="34" t="n">
        <x:v>5</x:v>
      </x:c>
      <x:c r="J211" s="36" t="inlineStr">
        <x:is>
          <x:t xml:space="preserve">docs(evidence): link pipeline history for E07 and E08</x:t>
        </x:is>
      </x:c>
      <x:c r="K211" s="36" t="inlineStr">
        <x:is>
          <x:t xml:space="preserve">Link run thành công và thất bại</x:t>
        </x:is>
      </x:c>
      <x:c r="L211" s="36" t="n"/>
      <x:c r="M211" s="37" t="inlineStr">
        <x:is>
          <x:t xml:space="preserve">Todo</x:t>
        </x:is>
      </x:c>
      <x:c r="N211" s="38" t="n"/>
      <x:c r="O211" s="38" t="n"/>
    </x:row>
    <x:row r="212" s="25" customFormat="1" ht="23.850000381469727" customHeight="1">
      <x:c r="A212" s="34" t="inlineStr">
        <x:is>
          <x:t xml:space="preserve">C206</x:t>
        </x:is>
      </x:c>
      <x:c r="B212" s="34" t="n">
        <x:v>5</x:v>
      </x:c>
      <x:c r="C212" s="35" t="n">
        <x:f>$B$4+30</x:f>
        <x:v>46351</x:v>
      </x:c>
      <x:c r="D212" s="34" t="inlineStr">
        <x:is>
          <x:t xml:space="preserve">Thứ 4</x:t>
        </x:is>
      </x:c>
      <x:c r="E212" s="36" t="inlineStr">
        <x:is>
          <x:t xml:space="preserve">Nguyễn Mai Hoàng Anh</x:t>
        </x:is>
      </x:c>
      <x:c r="F212" s="36" t="inlineStr">
        <x:is>
          <x:t xml:space="preserve">DevOps — CI/CD + hạ tầng monitoring</x:t>
        </x:is>
      </x:c>
      <x:c r="G212" s="34" t="inlineStr">
        <x:is>
          <x:t xml:space="preserve">TASK-004</x:t>
        </x:is>
      </x:c>
      <x:c r="H212" s="36" t="inlineStr">
        <x:is>
          <x:t xml:space="preserve">chore/task-004-polish-evidence</x:t>
        </x:is>
      </x:c>
      <x:c r="I212" s="34" t="n">
        <x:v>6</x:v>
      </x:c>
      <x:c r="J212" s="36" t="inlineStr">
        <x:is>
          <x:t xml:space="preserve">docs(architecture): align runtime view with deployed stack</x:t>
        </x:is>
      </x:c>
      <x:c r="K212" s="36" t="inlineStr">
        <x:is>
          <x:t xml:space="preserve">Cập nhật runtime-view.md theo thực tế</x:t>
        </x:is>
      </x:c>
      <x:c r="L212" s="36" t="n"/>
      <x:c r="M212" s="37" t="inlineStr">
        <x:is>
          <x:t xml:space="preserve">Todo</x:t>
        </x:is>
      </x:c>
      <x:c r="N212" s="38" t="n"/>
      <x:c r="O212" s="38" t="n"/>
    </x:row>
    <x:row r="213" s="25" customFormat="1" ht="23.850000381469727" customHeight="1">
      <x:c r="A213" s="34" t="inlineStr">
        <x:is>
          <x:t xml:space="preserve">C207</x:t>
        </x:is>
      </x:c>
      <x:c r="B213" s="34" t="n">
        <x:v>5</x:v>
      </x:c>
      <x:c r="C213" s="35" t="n">
        <x:f>$B$4+31</x:f>
        <x:v>46352</x:v>
      </x:c>
      <x:c r="D213" s="34" t="inlineStr">
        <x:is>
          <x:t xml:space="preserve">Thứ 5</x:t>
        </x:is>
      </x:c>
      <x:c r="E213" s="36" t="inlineStr">
        <x:is>
          <x:t xml:space="preserve">Nguyễn Mai Hoàng Anh</x:t>
        </x:is>
      </x:c>
      <x:c r="F213" s="36" t="inlineStr">
        <x:is>
          <x:t xml:space="preserve">DevOps — CI/CD + hạ tầng monitoring</x:t>
        </x:is>
      </x:c>
      <x:c r="G213" s="34" t="inlineStr">
        <x:is>
          <x:t xml:space="preserve">TASK-004</x:t>
        </x:is>
      </x:c>
      <x:c r="H213" s="36" t="inlineStr">
        <x:is>
          <x:t xml:space="preserve">chore/task-004-polish-evidence</x:t>
        </x:is>
      </x:c>
      <x:c r="I213" s="34" t="n">
        <x:v>7</x:v>
      </x:c>
      <x:c r="J213" s="36" t="inlineStr">
        <x:is>
          <x:t xml:space="preserve">docs(devops): add Tailscale access guide for demo</x:t>
        </x:is>
      </x:c>
      <x:c r="K213" s="36" t="inlineStr">
        <x:is>
          <x:t xml:space="preserve">Cách cho giảng viên/nhóm truy cập</x:t>
        </x:is>
      </x:c>
      <x:c r="L213" s="36" t="n"/>
      <x:c r="M213" s="37" t="inlineStr">
        <x:is>
          <x:t xml:space="preserve">Todo</x:t>
        </x:is>
      </x:c>
      <x:c r="N213" s="38" t="n"/>
      <x:c r="O213" s="38" t="n"/>
    </x:row>
    <x:row r="214" s="25" customFormat="1" ht="23.850000381469727" customHeight="1">
      <x:c r="A214" s="34" t="inlineStr">
        <x:is>
          <x:t xml:space="preserve">C208</x:t>
        </x:is>
      </x:c>
      <x:c r="B214" s="34" t="n">
        <x:v>5</x:v>
      </x:c>
      <x:c r="C214" s="35" t="n">
        <x:f>$B$4+31</x:f>
        <x:v>46352</x:v>
      </x:c>
      <x:c r="D214" s="34" t="inlineStr">
        <x:is>
          <x:t xml:space="preserve">Thứ 5</x:t>
        </x:is>
      </x:c>
      <x:c r="E214" s="36" t="inlineStr">
        <x:is>
          <x:t xml:space="preserve">Nguyễn Mai Hoàng Anh</x:t>
        </x:is>
      </x:c>
      <x:c r="F214" s="36" t="inlineStr">
        <x:is>
          <x:t xml:space="preserve">DevOps — CI/CD + hạ tầng monitoring</x:t>
        </x:is>
      </x:c>
      <x:c r="G214" s="34" t="inlineStr">
        <x:is>
          <x:t xml:space="preserve">TASK-004</x:t>
        </x:is>
      </x:c>
      <x:c r="H214" s="36" t="inlineStr">
        <x:is>
          <x:t xml:space="preserve">chore/task-004-polish-evidence</x:t>
        </x:is>
      </x:c>
      <x:c r="I214" s="34" t="n">
        <x:v>8</x:v>
      </x:c>
      <x:c r="J214" s="36" t="inlineStr">
        <x:is>
          <x:t xml:space="preserve">chore: add .env.example for observability stack</x:t>
        </x:is>
      </x:c>
      <x:c r="K214" s="36" t="inlineStr">
        <x:is>
          <x:t xml:space="preserve">Liệt kê biến môi trường cần đặt</x:t>
        </x:is>
      </x:c>
      <x:c r="L214" s="36" t="n"/>
      <x:c r="M214" s="37" t="inlineStr">
        <x:is>
          <x:t xml:space="preserve">Todo</x:t>
        </x:is>
      </x:c>
      <x:c r="N214" s="38" t="n"/>
      <x:c r="O214" s="38" t="n"/>
    </x:row>
    <x:row r="215" s="25" customFormat="1" ht="23.850000381469727" customHeight="1">
      <x:c r="A215" s="34" t="inlineStr">
        <x:is>
          <x:t xml:space="preserve">C209</x:t>
        </x:is>
      </x:c>
      <x:c r="B215" s="34" t="n">
        <x:v>5</x:v>
      </x:c>
      <x:c r="C215" s="35" t="n">
        <x:f>$B$4+32</x:f>
        <x:v>46353</x:v>
      </x:c>
      <x:c r="D215" s="34" t="inlineStr">
        <x:is>
          <x:t xml:space="preserve">Thứ 6</x:t>
        </x:is>
      </x:c>
      <x:c r="E215" s="36" t="inlineStr">
        <x:is>
          <x:t xml:space="preserve">Nguyễn Mai Hoàng Anh</x:t>
        </x:is>
      </x:c>
      <x:c r="F215" s="36" t="inlineStr">
        <x:is>
          <x:t xml:space="preserve">DevOps — CI/CD + hạ tầng monitoring</x:t>
        </x:is>
      </x:c>
      <x:c r="G215" s="34" t="inlineStr">
        <x:is>
          <x:t xml:space="preserve">TASK-004</x:t>
        </x:is>
      </x:c>
      <x:c r="H215" s="36" t="inlineStr">
        <x:is>
          <x:t xml:space="preserve">chore/task-004-polish-evidence</x:t>
        </x:is>
      </x:c>
      <x:c r="I215" s="34" t="n">
        <x:v>9</x:v>
      </x:c>
      <x:c r="J215" s="36" t="inlineStr">
        <x:is>
          <x:t xml:space="preserve">fix(ci): address issues found in official drill</x:t>
        </x:is>
      </x:c>
      <x:c r="K215" s="36" t="inlineStr">
        <x:is>
          <x:t xml:space="preserve">Sửa lỗi phát hiện khi diễn tập (nếu có)</x:t>
        </x:is>
      </x:c>
      <x:c r="L215" s="36" t="inlineStr">
        <x:is>
          <x:t xml:space="preserve">Việt Anh: drill chính thức</x:t>
        </x:is>
      </x:c>
      <x:c r="M215" s="37" t="inlineStr">
        <x:is>
          <x:t xml:space="preserve">Todo</x:t>
        </x:is>
      </x:c>
      <x:c r="N215" s="38" t="n"/>
      <x:c r="O215" s="38" t="n"/>
    </x:row>
    <x:row r="216" s="25" customFormat="1" ht="23.850000381469727" customHeight="1">
      <x:c r="A216" s="34" t="inlineStr">
        <x:is>
          <x:t xml:space="preserve">C210</x:t>
        </x:is>
      </x:c>
      <x:c r="B216" s="34" t="n">
        <x:v>5</x:v>
      </x:c>
      <x:c r="C216" s="35" t="n">
        <x:f>$B$4+32</x:f>
        <x:v>46353</x:v>
      </x:c>
      <x:c r="D216" s="34" t="inlineStr">
        <x:is>
          <x:t xml:space="preserve">Thứ 6</x:t>
        </x:is>
      </x:c>
      <x:c r="E216" s="36" t="inlineStr">
        <x:is>
          <x:t xml:space="preserve">Nguyễn Mai Hoàng Anh</x:t>
        </x:is>
      </x:c>
      <x:c r="F216" s="36" t="inlineStr">
        <x:is>
          <x:t xml:space="preserve">DevOps — CI/CD + hạ tầng monitoring</x:t>
        </x:is>
      </x:c>
      <x:c r="G216" s="34" t="inlineStr">
        <x:is>
          <x:t xml:space="preserve">TASK-004</x:t>
        </x:is>
      </x:c>
      <x:c r="H216" s="36" t="inlineStr">
        <x:is>
          <x:t xml:space="preserve">chore/task-004-polish-evidence</x:t>
        </x:is>
      </x:c>
      <x:c r="I216" s="34" t="n">
        <x:v>10</x:v>
      </x:c>
      <x:c r="J216" s="36" t="inlineStr">
        <x:is>
          <x:t xml:space="preserve">docs(devops): update DevOps README status</x:t>
        </x:is>
      </x:c>
      <x:c r="K216" s="36" t="inlineStr">
        <x:is>
          <x:t xml:space="preserve">Đánh dấu giai đoạn A–D đã xong</x:t>
        </x:is>
      </x:c>
      <x:c r="L216" s="36" t="n"/>
      <x:c r="M216" s="37" t="inlineStr">
        <x:is>
          <x:t xml:space="preserve">Todo</x:t>
        </x:is>
      </x:c>
      <x:c r="N216" s="38" t="n"/>
      <x:c r="O216" s="38" t="n"/>
    </x:row>
    <x:row r="217" s="25" customFormat="1" ht="15" customHeight="1">
      <x:c r="A217" s="34" t="inlineStr">
        <x:is>
          <x:t xml:space="preserve">C211</x:t>
        </x:is>
      </x:c>
      <x:c r="B217" s="34" t="n">
        <x:v>5</x:v>
      </x:c>
      <x:c r="C217" s="35" t="n">
        <x:f>$B$4+28</x:f>
        <x:v>46349</x:v>
      </x:c>
      <x:c r="D217" s="34" t="inlineStr">
        <x:is>
          <x:t xml:space="preserve">Thứ 2</x:t>
        </x:is>
      </x:c>
      <x:c r="E217" s="36" t="inlineStr">
        <x:is>
          <x:t xml:space="preserve">Phạm Minh Cương</x:t>
        </x:is>
      </x:c>
      <x:c r="F217" s="36" t="inlineStr">
        <x:is>
          <x:t xml:space="preserve">Backend + kiến trúc</x:t>
        </x:is>
      </x:c>
      <x:c r="G217" s="34" t="inlineStr">
        <x:is>
          <x:t xml:space="preserve">TASK-007</x:t>
        </x:is>
      </x:c>
      <x:c r="H217" s="36" t="inlineStr">
        <x:is>
          <x:t xml:space="preserve">docs/task-007-backend-evidence</x:t>
        </x:is>
      </x:c>
      <x:c r="I217" s="34" t="n">
        <x:v>1</x:v>
      </x:c>
      <x:c r="J217" s="36" t="inlineStr">
        <x:is>
          <x:t xml:space="preserve">test(release): run previous release against new schema (E14)</x:t>
        </x:is>
      </x:c>
      <x:c r="K217" s="36" t="inlineStr">
        <x:is>
          <x:t xml:space="preserve">Kiểm tra tương thích rollback</x:t>
        </x:is>
      </x:c>
      <x:c r="L217" s="36" t="n"/>
      <x:c r="M217" s="37" t="inlineStr">
        <x:is>
          <x:t xml:space="preserve">Todo</x:t>
        </x:is>
      </x:c>
      <x:c r="N217" s="38" t="n"/>
      <x:c r="O217" s="38" t="n"/>
    </x:row>
    <x:row r="218" s="25" customFormat="1" ht="15" customHeight="1">
      <x:c r="A218" s="34" t="inlineStr">
        <x:is>
          <x:t xml:space="preserve">C212</x:t>
        </x:is>
      </x:c>
      <x:c r="B218" s="34" t="n">
        <x:v>5</x:v>
      </x:c>
      <x:c r="C218" s="35" t="n">
        <x:f>$B$4+28</x:f>
        <x:v>46349</x:v>
      </x:c>
      <x:c r="D218" s="34" t="inlineStr">
        <x:is>
          <x:t xml:space="preserve">Thứ 2</x:t>
        </x:is>
      </x:c>
      <x:c r="E218" s="36" t="inlineStr">
        <x:is>
          <x:t xml:space="preserve">Phạm Minh Cương</x:t>
        </x:is>
      </x:c>
      <x:c r="F218" s="36" t="inlineStr">
        <x:is>
          <x:t xml:space="preserve">Backend + kiến trúc</x:t>
        </x:is>
      </x:c>
      <x:c r="G218" s="34" t="inlineStr">
        <x:is>
          <x:t xml:space="preserve">TASK-007</x:t>
        </x:is>
      </x:c>
      <x:c r="H218" s="36" t="inlineStr">
        <x:is>
          <x:t xml:space="preserve">docs/task-007-backend-evidence</x:t>
        </x:is>
      </x:c>
      <x:c r="I218" s="34" t="n">
        <x:v>2</x:v>
      </x:c>
      <x:c r="J218" s="36" t="inlineStr">
        <x:is>
          <x:t xml:space="preserve">docs(evidence): update E01–E05 and E14</x:t>
        </x:is>
      </x:c>
      <x:c r="K218" s="36" t="inlineStr">
        <x:is>
          <x:t xml:space="preserve">Ghi kết quả trên máy demo</x:t>
        </x:is>
      </x:c>
      <x:c r="L218" s="36" t="n"/>
      <x:c r="M218" s="37" t="inlineStr">
        <x:is>
          <x:t xml:space="preserve">Todo</x:t>
        </x:is>
      </x:c>
      <x:c r="N218" s="38" t="n"/>
      <x:c r="O218" s="38" t="n"/>
    </x:row>
    <x:row r="219" s="25" customFormat="1" ht="15" customHeight="1">
      <x:c r="A219" s="34" t="inlineStr">
        <x:is>
          <x:t xml:space="preserve">C213</x:t>
        </x:is>
      </x:c>
      <x:c r="B219" s="34" t="n">
        <x:v>5</x:v>
      </x:c>
      <x:c r="C219" s="35" t="n">
        <x:f>$B$4+29</x:f>
        <x:v>46350</x:v>
      </x:c>
      <x:c r="D219" s="34" t="inlineStr">
        <x:is>
          <x:t xml:space="preserve">Thứ 3</x:t>
        </x:is>
      </x:c>
      <x:c r="E219" s="36" t="inlineStr">
        <x:is>
          <x:t xml:space="preserve">Phạm Minh Cương</x:t>
        </x:is>
      </x:c>
      <x:c r="F219" s="36" t="inlineStr">
        <x:is>
          <x:t xml:space="preserve">Backend + kiến trúc</x:t>
        </x:is>
      </x:c>
      <x:c r="G219" s="34" t="inlineStr">
        <x:is>
          <x:t xml:space="preserve">TASK-007</x:t>
        </x:is>
      </x:c>
      <x:c r="H219" s="36" t="inlineStr">
        <x:is>
          <x:t xml:space="preserve">docs/task-007-backend-evidence</x:t>
        </x:is>
      </x:c>
      <x:c r="I219" s="34" t="n">
        <x:v>3</x:v>
      </x:c>
      <x:c r="J219" s="36" t="inlineStr">
        <x:is>
          <x:t xml:space="preserve">fix(api): address issues from official drill</x:t>
        </x:is>
      </x:c>
      <x:c r="K219" s="36" t="inlineStr">
        <x:is>
          <x:t xml:space="preserve">Nếu có</x:t>
        </x:is>
      </x:c>
      <x:c r="L219" s="36" t="inlineStr">
        <x:is>
          <x:t xml:space="preserve">Việt Anh: drill chính thức</x:t>
        </x:is>
      </x:c>
      <x:c r="M219" s="37" t="inlineStr">
        <x:is>
          <x:t xml:space="preserve">Todo</x:t>
        </x:is>
      </x:c>
      <x:c r="N219" s="38" t="n"/>
      <x:c r="O219" s="38" t="n"/>
    </x:row>
    <x:row r="220" s="25" customFormat="1" ht="15" customHeight="1">
      <x:c r="A220" s="34" t="inlineStr">
        <x:is>
          <x:t xml:space="preserve">C214</x:t>
        </x:is>
      </x:c>
      <x:c r="B220" s="34" t="n">
        <x:v>5</x:v>
      </x:c>
      <x:c r="C220" s="35" t="n">
        <x:f>$B$4+29</x:f>
        <x:v>46350</x:v>
      </x:c>
      <x:c r="D220" s="34" t="inlineStr">
        <x:is>
          <x:t xml:space="preserve">Thứ 3</x:t>
        </x:is>
      </x:c>
      <x:c r="E220" s="36" t="inlineStr">
        <x:is>
          <x:t xml:space="preserve">Phạm Minh Cương</x:t>
        </x:is>
      </x:c>
      <x:c r="F220" s="36" t="inlineStr">
        <x:is>
          <x:t xml:space="preserve">Backend + kiến trúc</x:t>
        </x:is>
      </x:c>
      <x:c r="G220" s="34" t="inlineStr">
        <x:is>
          <x:t xml:space="preserve">TASK-007</x:t>
        </x:is>
      </x:c>
      <x:c r="H220" s="36" t="inlineStr">
        <x:is>
          <x:t xml:space="preserve">docs/task-007-backend-evidence</x:t>
        </x:is>
      </x:c>
      <x:c r="I220" s="34" t="n">
        <x:v>4</x:v>
      </x:c>
      <x:c r="J220" s="36" t="inlineStr">
        <x:is>
          <x:t xml:space="preserve">docs(incidents): write root cause section with trace evidence</x:t>
        </x:is>
      </x:c>
      <x:c r="K220" s="36" t="inlineStr">
        <x:is>
          <x:t xml:space="preserve">Phối hợp Việt Anh</x:t>
        </x:is>
      </x:c>
      <x:c r="L220" s="36" t="n"/>
      <x:c r="M220" s="37" t="inlineStr">
        <x:is>
          <x:t xml:space="preserve">Todo</x:t>
        </x:is>
      </x:c>
      <x:c r="N220" s="38" t="n"/>
      <x:c r="O220" s="38" t="n"/>
    </x:row>
    <x:row r="221" s="25" customFormat="1" ht="15" customHeight="1">
      <x:c r="A221" s="34" t="inlineStr">
        <x:is>
          <x:t xml:space="preserve">C215</x:t>
        </x:is>
      </x:c>
      <x:c r="B221" s="34" t="n">
        <x:v>5</x:v>
      </x:c>
      <x:c r="C221" s="35" t="n">
        <x:f>$B$4+30</x:f>
        <x:v>46351</x:v>
      </x:c>
      <x:c r="D221" s="34" t="inlineStr">
        <x:is>
          <x:t xml:space="preserve">Thứ 4</x:t>
        </x:is>
      </x:c>
      <x:c r="E221" s="36" t="inlineStr">
        <x:is>
          <x:t xml:space="preserve">Phạm Minh Cương</x:t>
        </x:is>
      </x:c>
      <x:c r="F221" s="36" t="inlineStr">
        <x:is>
          <x:t xml:space="preserve">Backend + kiến trúc</x:t>
        </x:is>
      </x:c>
      <x:c r="G221" s="34" t="inlineStr">
        <x:is>
          <x:t xml:space="preserve">TASK-007</x:t>
        </x:is>
      </x:c>
      <x:c r="H221" s="36" t="inlineStr">
        <x:is>
          <x:t xml:space="preserve">docs/task-007-backend-evidence</x:t>
        </x:is>
      </x:c>
      <x:c r="I221" s="34" t="n">
        <x:v>5</x:v>
      </x:c>
      <x:c r="J221" s="36" t="inlineStr">
        <x:is>
          <x:t xml:space="preserve">refactor(backend): remove dead code and tighten typing</x:t>
        </x:is>
      </x:c>
      <x:c r="K221" s="36" t="n"/>
      <x:c r="L221" s="36" t="n"/>
      <x:c r="M221" s="37" t="inlineStr">
        <x:is>
          <x:t xml:space="preserve">Todo</x:t>
        </x:is>
      </x:c>
      <x:c r="N221" s="38" t="n"/>
      <x:c r="O221" s="38" t="n"/>
    </x:row>
    <x:row r="222" s="25" customFormat="1" ht="15" customHeight="1">
      <x:c r="A222" s="34" t="inlineStr">
        <x:is>
          <x:t xml:space="preserve">C216</x:t>
        </x:is>
      </x:c>
      <x:c r="B222" s="34" t="n">
        <x:v>5</x:v>
      </x:c>
      <x:c r="C222" s="35" t="n">
        <x:f>$B$4+30</x:f>
        <x:v>46351</x:v>
      </x:c>
      <x:c r="D222" s="34" t="inlineStr">
        <x:is>
          <x:t xml:space="preserve">Thứ 4</x:t>
        </x:is>
      </x:c>
      <x:c r="E222" s="36" t="inlineStr">
        <x:is>
          <x:t xml:space="preserve">Phạm Minh Cương</x:t>
        </x:is>
      </x:c>
      <x:c r="F222" s="36" t="inlineStr">
        <x:is>
          <x:t xml:space="preserve">Backend + kiến trúc</x:t>
        </x:is>
      </x:c>
      <x:c r="G222" s="34" t="inlineStr">
        <x:is>
          <x:t xml:space="preserve">TASK-007</x:t>
        </x:is>
      </x:c>
      <x:c r="H222" s="36" t="inlineStr">
        <x:is>
          <x:t xml:space="preserve">docs/task-007-backend-evidence</x:t>
        </x:is>
      </x:c>
      <x:c r="I222" s="34" t="n">
        <x:v>6</x:v>
      </x:c>
      <x:c r="J222" s="36" t="inlineStr">
        <x:is>
          <x:t xml:space="preserve">test(services): raise service coverage</x:t>
        </x:is>
      </x:c>
      <x:c r="K222" s="36" t="n"/>
      <x:c r="L222" s="36" t="n"/>
      <x:c r="M222" s="37" t="inlineStr">
        <x:is>
          <x:t xml:space="preserve">Todo</x:t>
        </x:is>
      </x:c>
      <x:c r="N222" s="38" t="n"/>
      <x:c r="O222" s="38" t="n"/>
    </x:row>
    <x:row r="223" s="25" customFormat="1" ht="15" customHeight="1">
      <x:c r="A223" s="34" t="inlineStr">
        <x:is>
          <x:t xml:space="preserve">C217</x:t>
        </x:is>
      </x:c>
      <x:c r="B223" s="34" t="n">
        <x:v>5</x:v>
      </x:c>
      <x:c r="C223" s="35" t="n">
        <x:f>$B$4+31</x:f>
        <x:v>46352</x:v>
      </x:c>
      <x:c r="D223" s="34" t="inlineStr">
        <x:is>
          <x:t xml:space="preserve">Thứ 5</x:t>
        </x:is>
      </x:c>
      <x:c r="E223" s="36" t="inlineStr">
        <x:is>
          <x:t xml:space="preserve">Phạm Minh Cương</x:t>
        </x:is>
      </x:c>
      <x:c r="F223" s="36" t="inlineStr">
        <x:is>
          <x:t xml:space="preserve">Backend + kiến trúc</x:t>
        </x:is>
      </x:c>
      <x:c r="G223" s="34" t="inlineStr">
        <x:is>
          <x:t xml:space="preserve">TASK-007</x:t>
        </x:is>
      </x:c>
      <x:c r="H223" s="36" t="inlineStr">
        <x:is>
          <x:t xml:space="preserve">docs/task-007-backend-evidence</x:t>
        </x:is>
      </x:c>
      <x:c r="I223" s="34" t="n">
        <x:v>7</x:v>
      </x:c>
      <x:c r="J223" s="36" t="inlineStr">
        <x:is>
          <x:t xml:space="preserve">chore(backend): pin dependency upper bounds</x:t>
        </x:is>
      </x:c>
      <x:c r="K223" s="36" t="n"/>
      <x:c r="L223" s="36" t="n"/>
      <x:c r="M223" s="37" t="inlineStr">
        <x:is>
          <x:t xml:space="preserve">Todo</x:t>
        </x:is>
      </x:c>
      <x:c r="N223" s="38" t="n"/>
      <x:c r="O223" s="38" t="n"/>
    </x:row>
    <x:row r="224" s="25" customFormat="1" ht="15" customHeight="1">
      <x:c r="A224" s="34" t="inlineStr">
        <x:is>
          <x:t xml:space="preserve">C218</x:t>
        </x:is>
      </x:c>
      <x:c r="B224" s="34" t="n">
        <x:v>5</x:v>
      </x:c>
      <x:c r="C224" s="35" t="n">
        <x:f>$B$4+31</x:f>
        <x:v>46352</x:v>
      </x:c>
      <x:c r="D224" s="34" t="inlineStr">
        <x:is>
          <x:t xml:space="preserve">Thứ 5</x:t>
        </x:is>
      </x:c>
      <x:c r="E224" s="36" t="inlineStr">
        <x:is>
          <x:t xml:space="preserve">Phạm Minh Cương</x:t>
        </x:is>
      </x:c>
      <x:c r="F224" s="36" t="inlineStr">
        <x:is>
          <x:t xml:space="preserve">Backend + kiến trúc</x:t>
        </x:is>
      </x:c>
      <x:c r="G224" s="34" t="inlineStr">
        <x:is>
          <x:t xml:space="preserve">TASK-007</x:t>
        </x:is>
      </x:c>
      <x:c r="H224" s="36" t="inlineStr">
        <x:is>
          <x:t xml:space="preserve">docs/task-007-backend-evidence</x:t>
        </x:is>
      </x:c>
      <x:c r="I224" s="34" t="n">
        <x:v>8</x:v>
      </x:c>
      <x:c r="J224" s="36" t="inlineStr">
        <x:is>
          <x:t xml:space="preserve">docs(adr): add ADR-002 draft for future k3s option</x:t>
        </x:is>
      </x:c>
      <x:c r="K224" s="36" t="inlineStr">
        <x:is>
          <x:t xml:space="preserve">Hướng mở rộng sau MVP</x:t>
        </x:is>
      </x:c>
      <x:c r="L224" s="36" t="n"/>
      <x:c r="M224" s="37" t="inlineStr">
        <x:is>
          <x:t xml:space="preserve">Todo</x:t>
        </x:is>
      </x:c>
      <x:c r="N224" s="38" t="n"/>
      <x:c r="O224" s="38" t="n"/>
    </x:row>
    <x:row r="225" s="25" customFormat="1" ht="15" customHeight="1">
      <x:c r="A225" s="34" t="inlineStr">
        <x:is>
          <x:t xml:space="preserve">C219</x:t>
        </x:is>
      </x:c>
      <x:c r="B225" s="34" t="n">
        <x:v>5</x:v>
      </x:c>
      <x:c r="C225" s="35" t="n">
        <x:f>$B$4+32</x:f>
        <x:v>46353</x:v>
      </x:c>
      <x:c r="D225" s="34" t="inlineStr">
        <x:is>
          <x:t xml:space="preserve">Thứ 6</x:t>
        </x:is>
      </x:c>
      <x:c r="E225" s="36" t="inlineStr">
        <x:is>
          <x:t xml:space="preserve">Phạm Minh Cương</x:t>
        </x:is>
      </x:c>
      <x:c r="F225" s="36" t="inlineStr">
        <x:is>
          <x:t xml:space="preserve">Backend + kiến trúc</x:t>
        </x:is>
      </x:c>
      <x:c r="G225" s="34" t="inlineStr">
        <x:is>
          <x:t xml:space="preserve">TASK-007</x:t>
        </x:is>
      </x:c>
      <x:c r="H225" s="36" t="inlineStr">
        <x:is>
          <x:t xml:space="preserve">docs/task-007-backend-evidence</x:t>
        </x:is>
      </x:c>
      <x:c r="I225" s="34" t="n">
        <x:v>9</x:v>
      </x:c>
      <x:c r="J225" s="36" t="inlineStr">
        <x:is>
          <x:t xml:space="preserve">docs: update root README status table</x:t>
        </x:is>
      </x:c>
      <x:c r="K225" s="36" t="n"/>
      <x:c r="L225" s="36" t="n"/>
      <x:c r="M225" s="37" t="inlineStr">
        <x:is>
          <x:t xml:space="preserve">Todo</x:t>
        </x:is>
      </x:c>
      <x:c r="N225" s="38" t="n"/>
      <x:c r="O225" s="38" t="n"/>
    </x:row>
    <x:row r="226" s="25" customFormat="1" ht="15" customHeight="1">
      <x:c r="A226" s="34" t="inlineStr">
        <x:is>
          <x:t xml:space="preserve">C220</x:t>
        </x:is>
      </x:c>
      <x:c r="B226" s="34" t="n">
        <x:v>5</x:v>
      </x:c>
      <x:c r="C226" s="35" t="n">
        <x:f>$B$4+32</x:f>
        <x:v>46353</x:v>
      </x:c>
      <x:c r="D226" s="34" t="inlineStr">
        <x:is>
          <x:t xml:space="preserve">Thứ 6</x:t>
        </x:is>
      </x:c>
      <x:c r="E226" s="36" t="inlineStr">
        <x:is>
          <x:t xml:space="preserve">Phạm Minh Cương</x:t>
        </x:is>
      </x:c>
      <x:c r="F226" s="36" t="inlineStr">
        <x:is>
          <x:t xml:space="preserve">Backend + kiến trúc</x:t>
        </x:is>
      </x:c>
      <x:c r="G226" s="34" t="inlineStr">
        <x:is>
          <x:t xml:space="preserve">TASK-007</x:t>
        </x:is>
      </x:c>
      <x:c r="H226" s="36" t="inlineStr">
        <x:is>
          <x:t xml:space="preserve">docs/task-007-backend-evidence</x:t>
        </x:is>
      </x:c>
      <x:c r="I226" s="34" t="n">
        <x:v>10</x:v>
      </x:c>
      <x:c r="J226" s="36" t="inlineStr">
        <x:is>
          <x:t xml:space="preserve">docs(report): architecture section for final report</x:t>
        </x:is>
      </x:c>
      <x:c r="K226" s="36" t="inlineStr">
        <x:is>
          <x:t xml:space="preserve">Nội dung cho báo cáo/slide</x:t>
        </x:is>
      </x:c>
      <x:c r="L226" s="36" t="n"/>
      <x:c r="M226" s="37" t="inlineStr">
        <x:is>
          <x:t xml:space="preserve">Todo</x:t>
        </x:is>
      </x:c>
      <x:c r="N226" s="38" t="n"/>
      <x:c r="O226" s="38" t="n"/>
    </x:row>
    <x:row r="227" s="25" customFormat="1" ht="15" customHeight="1">
      <x:c r="A227" s="34" t="inlineStr">
        <x:is>
          <x:t xml:space="preserve">C221</x:t>
        </x:is>
      </x:c>
      <x:c r="B227" s="34" t="n">
        <x:v>5</x:v>
      </x:c>
      <x:c r="C227" s="35" t="n">
        <x:f>$B$4+28</x:f>
        <x:v>46349</x:v>
      </x:c>
      <x:c r="D227" s="34" t="inlineStr">
        <x:is>
          <x:t xml:space="preserve">Thứ 2</x:t>
        </x:is>
      </x:c>
      <x:c r="E227" s="36" t="inlineStr">
        <x:is>
          <x:t xml:space="preserve">Lê Văn Cường</x:t>
        </x:is>
      </x:c>
      <x:c r="F227" s="36" t="inlineStr">
        <x:is>
          <x:t xml:space="preserve">Frontend + E2E</x:t>
        </x:is>
      </x:c>
      <x:c r="G227" s="34" t="inlineStr">
        <x:is>
          <x:t xml:space="preserve">TASK-003</x:t>
        </x:is>
      </x:c>
      <x:c r="H227" s="36" t="inlineStr">
        <x:is>
          <x:t xml:space="preserve">chore/task-003-polish</x:t>
        </x:is>
      </x:c>
      <x:c r="I227" s="34" t="n">
        <x:v>1</x:v>
      </x:c>
      <x:c r="J227" s="36" t="inlineStr">
        <x:is>
          <x:t xml:space="preserve">test(e2e): add post-deploy smoke suite</x:t>
        </x:is>
      </x:c>
      <x:c r="K227" s="36" t="inlineStr">
        <x:is>
          <x:t xml:space="preserve">Chạy sau deploy trên máy demo</x:t>
        </x:is>
      </x:c>
      <x:c r="L227" s="36" t="n"/>
      <x:c r="M227" s="37" t="inlineStr">
        <x:is>
          <x:t xml:space="preserve">Todo</x:t>
        </x:is>
      </x:c>
      <x:c r="N227" s="38" t="n"/>
      <x:c r="O227" s="38" t="n"/>
    </x:row>
    <x:row r="228" s="25" customFormat="1" ht="15" customHeight="1">
      <x:c r="A228" s="34" t="inlineStr">
        <x:is>
          <x:t xml:space="preserve">C222</x:t>
        </x:is>
      </x:c>
      <x:c r="B228" s="34" t="n">
        <x:v>5</x:v>
      </x:c>
      <x:c r="C228" s="35" t="n">
        <x:f>$B$4+28</x:f>
        <x:v>46349</x:v>
      </x:c>
      <x:c r="D228" s="34" t="inlineStr">
        <x:is>
          <x:t xml:space="preserve">Thứ 2</x:t>
        </x:is>
      </x:c>
      <x:c r="E228" s="36" t="inlineStr">
        <x:is>
          <x:t xml:space="preserve">Lê Văn Cường</x:t>
        </x:is>
      </x:c>
      <x:c r="F228" s="36" t="inlineStr">
        <x:is>
          <x:t xml:space="preserve">Frontend + E2E</x:t>
        </x:is>
      </x:c>
      <x:c r="G228" s="34" t="inlineStr">
        <x:is>
          <x:t xml:space="preserve">TASK-003</x:t>
        </x:is>
      </x:c>
      <x:c r="H228" s="36" t="inlineStr">
        <x:is>
          <x:t xml:space="preserve">chore/task-003-polish</x:t>
        </x:is>
      </x:c>
      <x:c r="I228" s="34" t="n">
        <x:v>2</x:v>
      </x:c>
      <x:c r="J228" s="36" t="inlineStr">
        <x:is>
          <x:t xml:space="preserve">ci: upload Playwright report as artifact</x:t>
        </x:is>
      </x:c>
      <x:c r="K228" s="36" t="n"/>
      <x:c r="L228" s="36" t="n"/>
      <x:c r="M228" s="37" t="inlineStr">
        <x:is>
          <x:t xml:space="preserve">Todo</x:t>
        </x:is>
      </x:c>
      <x:c r="N228" s="38" t="n"/>
      <x:c r="O228" s="38" t="n"/>
    </x:row>
    <x:row r="229" s="25" customFormat="1" ht="15" customHeight="1">
      <x:c r="A229" s="34" t="inlineStr">
        <x:is>
          <x:t xml:space="preserve">C223</x:t>
        </x:is>
      </x:c>
      <x:c r="B229" s="34" t="n">
        <x:v>5</x:v>
      </x:c>
      <x:c r="C229" s="35" t="n">
        <x:f>$B$4+29</x:f>
        <x:v>46350</x:v>
      </x:c>
      <x:c r="D229" s="34" t="inlineStr">
        <x:is>
          <x:t xml:space="preserve">Thứ 3</x:t>
        </x:is>
      </x:c>
      <x:c r="E229" s="36" t="inlineStr">
        <x:is>
          <x:t xml:space="preserve">Lê Văn Cường</x:t>
        </x:is>
      </x:c>
      <x:c r="F229" s="36" t="inlineStr">
        <x:is>
          <x:t xml:space="preserve">Frontend + E2E</x:t>
        </x:is>
      </x:c>
      <x:c r="G229" s="34" t="inlineStr">
        <x:is>
          <x:t xml:space="preserve">TASK-003</x:t>
        </x:is>
      </x:c>
      <x:c r="H229" s="36" t="inlineStr">
        <x:is>
          <x:t xml:space="preserve">chore/task-003-polish</x:t>
        </x:is>
      </x:c>
      <x:c r="I229" s="34" t="n">
        <x:v>3</x:v>
      </x:c>
      <x:c r="J229" s="36" t="inlineStr">
        <x:is>
          <x:t xml:space="preserve">fix(frontend): address issues from official drill</x:t>
        </x:is>
      </x:c>
      <x:c r="K229" s="36" t="inlineStr">
        <x:is>
          <x:t xml:space="preserve">Nếu có</x:t>
        </x:is>
      </x:c>
      <x:c r="L229" s="36" t="n"/>
      <x:c r="M229" s="37" t="inlineStr">
        <x:is>
          <x:t xml:space="preserve">Todo</x:t>
        </x:is>
      </x:c>
      <x:c r="N229" s="38" t="n"/>
      <x:c r="O229" s="38" t="n"/>
    </x:row>
    <x:row r="230" s="25" customFormat="1" ht="15" customHeight="1">
      <x:c r="A230" s="34" t="inlineStr">
        <x:is>
          <x:t xml:space="preserve">C224</x:t>
        </x:is>
      </x:c>
      <x:c r="B230" s="34" t="n">
        <x:v>5</x:v>
      </x:c>
      <x:c r="C230" s="35" t="n">
        <x:f>$B$4+29</x:f>
        <x:v>46350</x:v>
      </x:c>
      <x:c r="D230" s="34" t="inlineStr">
        <x:is>
          <x:t xml:space="preserve">Thứ 3</x:t>
        </x:is>
      </x:c>
      <x:c r="E230" s="36" t="inlineStr">
        <x:is>
          <x:t xml:space="preserve">Lê Văn Cường</x:t>
        </x:is>
      </x:c>
      <x:c r="F230" s="36" t="inlineStr">
        <x:is>
          <x:t xml:space="preserve">Frontend + E2E</x:t>
        </x:is>
      </x:c>
      <x:c r="G230" s="34" t="inlineStr">
        <x:is>
          <x:t xml:space="preserve">TASK-003</x:t>
        </x:is>
      </x:c>
      <x:c r="H230" s="36" t="inlineStr">
        <x:is>
          <x:t xml:space="preserve">chore/task-003-polish</x:t>
        </x:is>
      </x:c>
      <x:c r="I230" s="34" t="n">
        <x:v>4</x:v>
      </x:c>
      <x:c r="J230" s="36" t="inlineStr">
        <x:is>
          <x:t xml:space="preserve">style(frontend): polish booking page</x:t>
        </x:is>
      </x:c>
      <x:c r="K230" s="36" t="n"/>
      <x:c r="L230" s="36" t="n"/>
      <x:c r="M230" s="37" t="inlineStr">
        <x:is>
          <x:t xml:space="preserve">Todo</x:t>
        </x:is>
      </x:c>
      <x:c r="N230" s="38" t="n"/>
      <x:c r="O230" s="38" t="n"/>
    </x:row>
    <x:row r="231" s="25" customFormat="1" ht="15" customHeight="1">
      <x:c r="A231" s="34" t="inlineStr">
        <x:is>
          <x:t xml:space="preserve">C225</x:t>
        </x:is>
      </x:c>
      <x:c r="B231" s="34" t="n">
        <x:v>5</x:v>
      </x:c>
      <x:c r="C231" s="35" t="n">
        <x:f>$B$4+30</x:f>
        <x:v>46351</x:v>
      </x:c>
      <x:c r="D231" s="34" t="inlineStr">
        <x:is>
          <x:t xml:space="preserve">Thứ 4</x:t>
        </x:is>
      </x:c>
      <x:c r="E231" s="36" t="inlineStr">
        <x:is>
          <x:t xml:space="preserve">Lê Văn Cường</x:t>
        </x:is>
      </x:c>
      <x:c r="F231" s="36" t="inlineStr">
        <x:is>
          <x:t xml:space="preserve">Frontend + E2E</x:t>
        </x:is>
      </x:c>
      <x:c r="G231" s="34" t="inlineStr">
        <x:is>
          <x:t xml:space="preserve">TASK-003</x:t>
        </x:is>
      </x:c>
      <x:c r="H231" s="36" t="inlineStr">
        <x:is>
          <x:t xml:space="preserve">chore/task-003-polish</x:t>
        </x:is>
      </x:c>
      <x:c r="I231" s="34" t="n">
        <x:v>5</x:v>
      </x:c>
      <x:c r="J231" s="36" t="inlineStr">
        <x:is>
          <x:t xml:space="preserve">test(frontend): raise component coverage</x:t>
        </x:is>
      </x:c>
      <x:c r="K231" s="36" t="n"/>
      <x:c r="L231" s="36" t="n"/>
      <x:c r="M231" s="37" t="inlineStr">
        <x:is>
          <x:t xml:space="preserve">Todo</x:t>
        </x:is>
      </x:c>
      <x:c r="N231" s="38" t="n"/>
      <x:c r="O231" s="38" t="n"/>
    </x:row>
    <x:row r="232" s="25" customFormat="1" ht="15" customHeight="1">
      <x:c r="A232" s="34" t="inlineStr">
        <x:is>
          <x:t xml:space="preserve">C226</x:t>
        </x:is>
      </x:c>
      <x:c r="B232" s="34" t="n">
        <x:v>5</x:v>
      </x:c>
      <x:c r="C232" s="35" t="n">
        <x:f>$B$4+30</x:f>
        <x:v>46351</x:v>
      </x:c>
      <x:c r="D232" s="34" t="inlineStr">
        <x:is>
          <x:t xml:space="preserve">Thứ 4</x:t>
        </x:is>
      </x:c>
      <x:c r="E232" s="36" t="inlineStr">
        <x:is>
          <x:t xml:space="preserve">Lê Văn Cường</x:t>
        </x:is>
      </x:c>
      <x:c r="F232" s="36" t="inlineStr">
        <x:is>
          <x:t xml:space="preserve">Frontend + E2E</x:t>
        </x:is>
      </x:c>
      <x:c r="G232" s="34" t="inlineStr">
        <x:is>
          <x:t xml:space="preserve">TASK-003</x:t>
        </x:is>
      </x:c>
      <x:c r="H232" s="36" t="inlineStr">
        <x:is>
          <x:t xml:space="preserve">chore/task-003-polish</x:t>
        </x:is>
      </x:c>
      <x:c r="I232" s="34" t="n">
        <x:v>6</x:v>
      </x:c>
      <x:c r="J232" s="36" t="inlineStr">
        <x:is>
          <x:t xml:space="preserve">docs(evidence): finalise E06</x:t>
        </x:is>
      </x:c>
      <x:c r="K232" s="36" t="n"/>
      <x:c r="L232" s="36" t="n"/>
      <x:c r="M232" s="37" t="inlineStr">
        <x:is>
          <x:t xml:space="preserve">Todo</x:t>
        </x:is>
      </x:c>
      <x:c r="N232" s="38" t="n"/>
      <x:c r="O232" s="38" t="n"/>
    </x:row>
    <x:row r="233" s="25" customFormat="1" ht="15" customHeight="1">
      <x:c r="A233" s="34" t="inlineStr">
        <x:is>
          <x:t xml:space="preserve">C227</x:t>
        </x:is>
      </x:c>
      <x:c r="B233" s="34" t="n">
        <x:v>5</x:v>
      </x:c>
      <x:c r="C233" s="35" t="n">
        <x:f>$B$4+31</x:f>
        <x:v>46352</x:v>
      </x:c>
      <x:c r="D233" s="34" t="inlineStr">
        <x:is>
          <x:t xml:space="preserve">Thứ 5</x:t>
        </x:is>
      </x:c>
      <x:c r="E233" s="36" t="inlineStr">
        <x:is>
          <x:t xml:space="preserve">Lê Văn Cường</x:t>
        </x:is>
      </x:c>
      <x:c r="F233" s="36" t="inlineStr">
        <x:is>
          <x:t xml:space="preserve">Frontend + E2E</x:t>
        </x:is>
      </x:c>
      <x:c r="G233" s="34" t="inlineStr">
        <x:is>
          <x:t xml:space="preserve">TASK-003</x:t>
        </x:is>
      </x:c>
      <x:c r="H233" s="36" t="inlineStr">
        <x:is>
          <x:t xml:space="preserve">chore/task-003-polish</x:t>
        </x:is>
      </x:c>
      <x:c r="I233" s="34" t="n">
        <x:v>7</x:v>
      </x:c>
      <x:c r="J233" s="36" t="inlineStr">
        <x:is>
          <x:t xml:space="preserve">docs(frontend): add demo user guide</x:t>
        </x:is>
      </x:c>
      <x:c r="K233" s="36" t="n"/>
      <x:c r="L233" s="36" t="n"/>
      <x:c r="M233" s="37" t="inlineStr">
        <x:is>
          <x:t xml:space="preserve">Todo</x:t>
        </x:is>
      </x:c>
      <x:c r="N233" s="38" t="n"/>
      <x:c r="O233" s="38" t="n"/>
    </x:row>
    <x:row r="234" s="25" customFormat="1" ht="15" customHeight="1">
      <x:c r="A234" s="34" t="inlineStr">
        <x:is>
          <x:t xml:space="preserve">C228</x:t>
        </x:is>
      </x:c>
      <x:c r="B234" s="34" t="n">
        <x:v>5</x:v>
      </x:c>
      <x:c r="C234" s="35" t="n">
        <x:f>$B$4+31</x:f>
        <x:v>46352</x:v>
      </x:c>
      <x:c r="D234" s="34" t="inlineStr">
        <x:is>
          <x:t xml:space="preserve">Thứ 5</x:t>
        </x:is>
      </x:c>
      <x:c r="E234" s="36" t="inlineStr">
        <x:is>
          <x:t xml:space="preserve">Lê Văn Cường</x:t>
        </x:is>
      </x:c>
      <x:c r="F234" s="36" t="inlineStr">
        <x:is>
          <x:t xml:space="preserve">Frontend + E2E</x:t>
        </x:is>
      </x:c>
      <x:c r="G234" s="34" t="inlineStr">
        <x:is>
          <x:t xml:space="preserve">TASK-003</x:t>
        </x:is>
      </x:c>
      <x:c r="H234" s="36" t="inlineStr">
        <x:is>
          <x:t xml:space="preserve">chore/task-003-polish</x:t>
        </x:is>
      </x:c>
      <x:c r="I234" s="34" t="n">
        <x:v>8</x:v>
      </x:c>
      <x:c r="J234" s="36" t="inlineStr">
        <x:is>
          <x:t xml:space="preserve">refactor(frontend): clean up components</x:t>
        </x:is>
      </x:c>
      <x:c r="K234" s="36" t="n"/>
      <x:c r="L234" s="36" t="n"/>
      <x:c r="M234" s="37" t="inlineStr">
        <x:is>
          <x:t xml:space="preserve">Todo</x:t>
        </x:is>
      </x:c>
      <x:c r="N234" s="38" t="n"/>
      <x:c r="O234" s="38" t="n"/>
    </x:row>
    <x:row r="235" s="25" customFormat="1" ht="15" customHeight="1">
      <x:c r="A235" s="34" t="inlineStr">
        <x:is>
          <x:t xml:space="preserve">C229</x:t>
        </x:is>
      </x:c>
      <x:c r="B235" s="34" t="n">
        <x:v>5</x:v>
      </x:c>
      <x:c r="C235" s="35" t="n">
        <x:f>$B$4+32</x:f>
        <x:v>46353</x:v>
      </x:c>
      <x:c r="D235" s="34" t="inlineStr">
        <x:is>
          <x:t xml:space="preserve">Thứ 6</x:t>
        </x:is>
      </x:c>
      <x:c r="E235" s="36" t="inlineStr">
        <x:is>
          <x:t xml:space="preserve">Lê Văn Cường</x:t>
        </x:is>
      </x:c>
      <x:c r="F235" s="36" t="inlineStr">
        <x:is>
          <x:t xml:space="preserve">Frontend + E2E</x:t>
        </x:is>
      </x:c>
      <x:c r="G235" s="34" t="inlineStr">
        <x:is>
          <x:t xml:space="preserve">TASK-003</x:t>
        </x:is>
      </x:c>
      <x:c r="H235" s="36" t="inlineStr">
        <x:is>
          <x:t xml:space="preserve">chore/task-003-polish</x:t>
        </x:is>
      </x:c>
      <x:c r="I235" s="34" t="n">
        <x:v>9</x:v>
      </x:c>
      <x:c r="J235" s="36" t="inlineStr">
        <x:is>
          <x:t xml:space="preserve">chore(frontend): update dependencies</x:t>
        </x:is>
      </x:c>
      <x:c r="K235" s="36" t="n"/>
      <x:c r="L235" s="36" t="n"/>
      <x:c r="M235" s="37" t="inlineStr">
        <x:is>
          <x:t xml:space="preserve">Todo</x:t>
        </x:is>
      </x:c>
      <x:c r="N235" s="38" t="n"/>
      <x:c r="O235" s="38" t="n"/>
    </x:row>
    <x:row r="236" s="25" customFormat="1" ht="15" customHeight="1">
      <x:c r="A236" s="34" t="inlineStr">
        <x:is>
          <x:t xml:space="preserve">C230</x:t>
        </x:is>
      </x:c>
      <x:c r="B236" s="34" t="n">
        <x:v>5</x:v>
      </x:c>
      <x:c r="C236" s="35" t="n">
        <x:f>$B$4+32</x:f>
        <x:v>46353</x:v>
      </x:c>
      <x:c r="D236" s="34" t="inlineStr">
        <x:is>
          <x:t xml:space="preserve">Thứ 6</x:t>
        </x:is>
      </x:c>
      <x:c r="E236" s="36" t="inlineStr">
        <x:is>
          <x:t xml:space="preserve">Lê Văn Cường</x:t>
        </x:is>
      </x:c>
      <x:c r="F236" s="36" t="inlineStr">
        <x:is>
          <x:t xml:space="preserve">Frontend + E2E</x:t>
        </x:is>
      </x:c>
      <x:c r="G236" s="34" t="inlineStr">
        <x:is>
          <x:t xml:space="preserve">TASK-003</x:t>
        </x:is>
      </x:c>
      <x:c r="H236" s="36" t="inlineStr">
        <x:is>
          <x:t xml:space="preserve">chore/task-003-polish</x:t>
        </x:is>
      </x:c>
      <x:c r="I236" s="34" t="n">
        <x:v>10</x:v>
      </x:c>
      <x:c r="J236" s="36" t="inlineStr">
        <x:is>
          <x:t xml:space="preserve">docs(report): UI section for final report</x:t>
        </x:is>
      </x:c>
      <x:c r="K236" s="36" t="n"/>
      <x:c r="L236" s="36" t="n"/>
      <x:c r="M236" s="37" t="inlineStr">
        <x:is>
          <x:t xml:space="preserve">Todo</x:t>
        </x:is>
      </x:c>
      <x:c r="N236" s="38" t="n"/>
      <x:c r="O236" s="38" t="n"/>
    </x:row>
    <x:row r="237" s="25" customFormat="1" ht="15" customHeight="1">
      <x:c r="A237" s="34" t="inlineStr">
        <x:is>
          <x:t xml:space="preserve">C231</x:t>
        </x:is>
      </x:c>
      <x:c r="B237" s="34" t="n">
        <x:v>5</x:v>
      </x:c>
      <x:c r="C237" s="35" t="n">
        <x:f>$B$4+28</x:f>
        <x:v>46349</x:v>
      </x:c>
      <x:c r="D237" s="34" t="inlineStr">
        <x:is>
          <x:t xml:space="preserve">Thứ 2</x:t>
        </x:is>
      </x:c>
      <x:c r="E237" s="36" t="inlineStr">
        <x:is>
          <x:t xml:space="preserve">Nguyễn Việt Anh</x:t>
        </x:is>
      </x:c>
      <x:c r="F237" s="36" t="inlineStr">
        <x:is>
          <x:t xml:space="preserve">Release + độ tin cậy</x:t>
        </x:is>
      </x:c>
      <x:c r="G237" s="34" t="inlineStr">
        <x:is>
          <x:t xml:space="preserve">TASK-007</x:t>
        </x:is>
      </x:c>
      <x:c r="H237" s="36" t="inlineStr">
        <x:is>
          <x:t xml:space="preserve">docs/task-007-incident-report</x:t>
        </x:is>
      </x:c>
      <x:c r="I237" s="34" t="n">
        <x:v>1</x:v>
      </x:c>
      <x:c r="J237" s="36" t="inlineStr">
        <x:is>
          <x:t xml:space="preserve">docs(incidents): add official drill timeline</x:t>
        </x:is>
      </x:c>
      <x:c r="K237" s="36" t="inlineStr">
        <x:is>
          <x:t xml:space="preserve">Chạy drill chính thức</x:t>
        </x:is>
      </x:c>
      <x:c r="L237" s="36" t="inlineStr">
        <x:is>
          <x:t xml:space="preserve">Cả nhóm</x:t>
        </x:is>
      </x:c>
      <x:c r="M237" s="37" t="inlineStr">
        <x:is>
          <x:t xml:space="preserve">Todo</x:t>
        </x:is>
      </x:c>
      <x:c r="N237" s="38" t="n"/>
      <x:c r="O237" s="38" t="n"/>
    </x:row>
    <x:row r="238" s="25" customFormat="1" ht="15" customHeight="1">
      <x:c r="A238" s="34" t="inlineStr">
        <x:is>
          <x:t xml:space="preserve">C232</x:t>
        </x:is>
      </x:c>
      <x:c r="B238" s="34" t="n">
        <x:v>5</x:v>
      </x:c>
      <x:c r="C238" s="35" t="n">
        <x:f>$B$4+28</x:f>
        <x:v>46349</x:v>
      </x:c>
      <x:c r="D238" s="34" t="inlineStr">
        <x:is>
          <x:t xml:space="preserve">Thứ 2</x:t>
        </x:is>
      </x:c>
      <x:c r="E238" s="36" t="inlineStr">
        <x:is>
          <x:t xml:space="preserve">Nguyễn Việt Anh</x:t>
        </x:is>
      </x:c>
      <x:c r="F238" s="36" t="inlineStr">
        <x:is>
          <x:t xml:space="preserve">Release + độ tin cậy</x:t>
        </x:is>
      </x:c>
      <x:c r="G238" s="34" t="inlineStr">
        <x:is>
          <x:t xml:space="preserve">TASK-007</x:t>
        </x:is>
      </x:c>
      <x:c r="H238" s="36" t="inlineStr">
        <x:is>
          <x:t xml:space="preserve">docs/task-007-incident-report</x:t>
        </x:is>
      </x:c>
      <x:c r="I238" s="34" t="n">
        <x:v>2</x:v>
      </x:c>
      <x:c r="J238" s="36" t="inlineStr">
        <x:is>
          <x:t xml:space="preserve">docs(incidents): add impact and detection sections</x:t>
        </x:is>
      </x:c>
      <x:c r="K238" s="36" t="n"/>
      <x:c r="L238" s="36" t="n"/>
      <x:c r="M238" s="37" t="inlineStr">
        <x:is>
          <x:t xml:space="preserve">Todo</x:t>
        </x:is>
      </x:c>
      <x:c r="N238" s="38" t="n"/>
      <x:c r="O238" s="38" t="n"/>
    </x:row>
    <x:row r="239" s="25" customFormat="1" ht="15" customHeight="1">
      <x:c r="A239" s="34" t="inlineStr">
        <x:is>
          <x:t xml:space="preserve">C233</x:t>
        </x:is>
      </x:c>
      <x:c r="B239" s="34" t="n">
        <x:v>5</x:v>
      </x:c>
      <x:c r="C239" s="35" t="n">
        <x:f>$B$4+29</x:f>
        <x:v>46350</x:v>
      </x:c>
      <x:c r="D239" s="34" t="inlineStr">
        <x:is>
          <x:t xml:space="preserve">Thứ 3</x:t>
        </x:is>
      </x:c>
      <x:c r="E239" s="36" t="inlineStr">
        <x:is>
          <x:t xml:space="preserve">Nguyễn Việt Anh</x:t>
        </x:is>
      </x:c>
      <x:c r="F239" s="36" t="inlineStr">
        <x:is>
          <x:t xml:space="preserve">Release + độ tin cậy</x:t>
        </x:is>
      </x:c>
      <x:c r="G239" s="34" t="inlineStr">
        <x:is>
          <x:t xml:space="preserve">TASK-007</x:t>
        </x:is>
      </x:c>
      <x:c r="H239" s="36" t="inlineStr">
        <x:is>
          <x:t xml:space="preserve">docs/task-007-incident-report</x:t>
        </x:is>
      </x:c>
      <x:c r="I239" s="34" t="n">
        <x:v>3</x:v>
      </x:c>
      <x:c r="J239" s="36" t="inlineStr">
        <x:is>
          <x:t xml:space="preserve">docs(incidents): add resolution section</x:t>
        </x:is>
      </x:c>
      <x:c r="K239" s="36" t="n"/>
      <x:c r="L239" s="36" t="n"/>
      <x:c r="M239" s="37" t="inlineStr">
        <x:is>
          <x:t xml:space="preserve">Todo</x:t>
        </x:is>
      </x:c>
      <x:c r="N239" s="38" t="n"/>
      <x:c r="O239" s="38" t="n"/>
    </x:row>
    <x:row r="240" s="25" customFormat="1" ht="15" customHeight="1">
      <x:c r="A240" s="34" t="inlineStr">
        <x:is>
          <x:t xml:space="preserve">C234</x:t>
        </x:is>
      </x:c>
      <x:c r="B240" s="34" t="n">
        <x:v>5</x:v>
      </x:c>
      <x:c r="C240" s="35" t="n">
        <x:f>$B$4+29</x:f>
        <x:v>46350</x:v>
      </x:c>
      <x:c r="D240" s="34" t="inlineStr">
        <x:is>
          <x:t xml:space="preserve">Thứ 3</x:t>
        </x:is>
      </x:c>
      <x:c r="E240" s="36" t="inlineStr">
        <x:is>
          <x:t xml:space="preserve">Nguyễn Việt Anh</x:t>
        </x:is>
      </x:c>
      <x:c r="F240" s="36" t="inlineStr">
        <x:is>
          <x:t xml:space="preserve">Release + độ tin cậy</x:t>
        </x:is>
      </x:c>
      <x:c r="G240" s="34" t="inlineStr">
        <x:is>
          <x:t xml:space="preserve">TASK-007</x:t>
        </x:is>
      </x:c>
      <x:c r="H240" s="36" t="inlineStr">
        <x:is>
          <x:t xml:space="preserve">docs/task-007-incident-report</x:t>
        </x:is>
      </x:c>
      <x:c r="I240" s="34" t="n">
        <x:v>4</x:v>
      </x:c>
      <x:c r="J240" s="36" t="inlineStr">
        <x:is>
          <x:t xml:space="preserve">docs(incidents): add follow-up actions</x:t>
        </x:is>
      </x:c>
      <x:c r="K240" s="36" t="n"/>
      <x:c r="L240" s="36" t="n"/>
      <x:c r="M240" s="37" t="inlineStr">
        <x:is>
          <x:t xml:space="preserve">Todo</x:t>
        </x:is>
      </x:c>
      <x:c r="N240" s="38" t="n"/>
      <x:c r="O240" s="38" t="n"/>
    </x:row>
    <x:row r="241" s="25" customFormat="1" ht="15" customHeight="1">
      <x:c r="A241" s="34" t="inlineStr">
        <x:is>
          <x:t xml:space="preserve">C235</x:t>
        </x:is>
      </x:c>
      <x:c r="B241" s="34" t="n">
        <x:v>5</x:v>
      </x:c>
      <x:c r="C241" s="35" t="n">
        <x:f>$B$4+30</x:f>
        <x:v>46351</x:v>
      </x:c>
      <x:c r="D241" s="34" t="inlineStr">
        <x:is>
          <x:t xml:space="preserve">Thứ 4</x:t>
        </x:is>
      </x:c>
      <x:c r="E241" s="36" t="inlineStr">
        <x:is>
          <x:t xml:space="preserve">Nguyễn Việt Anh</x:t>
        </x:is>
      </x:c>
      <x:c r="F241" s="36" t="inlineStr">
        <x:is>
          <x:t xml:space="preserve">Release + độ tin cậy</x:t>
        </x:is>
      </x:c>
      <x:c r="G241" s="34" t="inlineStr">
        <x:is>
          <x:t xml:space="preserve">TASK-007</x:t>
        </x:is>
      </x:c>
      <x:c r="H241" s="36" t="inlineStr">
        <x:is>
          <x:t xml:space="preserve">docs/task-007-incident-report</x:t>
        </x:is>
      </x:c>
      <x:c r="I241" s="34" t="n">
        <x:v>5</x:v>
      </x:c>
      <x:c r="J241" s="36" t="inlineStr">
        <x:is>
          <x:t xml:space="preserve">docs(evidence): update E01–E16 status table</x:t>
        </x:is>
      </x:c>
      <x:c r="K241" s="36" t="n"/>
      <x:c r="L241" s="36" t="n"/>
      <x:c r="M241" s="37" t="inlineStr">
        <x:is>
          <x:t xml:space="preserve">Todo</x:t>
        </x:is>
      </x:c>
      <x:c r="N241" s="38" t="n"/>
      <x:c r="O241" s="38" t="n"/>
    </x:row>
    <x:row r="242" s="25" customFormat="1" ht="15" customHeight="1">
      <x:c r="A242" s="34" t="inlineStr">
        <x:is>
          <x:t xml:space="preserve">C236</x:t>
        </x:is>
      </x:c>
      <x:c r="B242" s="34" t="n">
        <x:v>5</x:v>
      </x:c>
      <x:c r="C242" s="35" t="n">
        <x:f>$B$4+30</x:f>
        <x:v>46351</x:v>
      </x:c>
      <x:c r="D242" s="34" t="inlineStr">
        <x:is>
          <x:t xml:space="preserve">Thứ 4</x:t>
        </x:is>
      </x:c>
      <x:c r="E242" s="36" t="inlineStr">
        <x:is>
          <x:t xml:space="preserve">Nguyễn Việt Anh</x:t>
        </x:is>
      </x:c>
      <x:c r="F242" s="36" t="inlineStr">
        <x:is>
          <x:t xml:space="preserve">Release + độ tin cậy</x:t>
        </x:is>
      </x:c>
      <x:c r="G242" s="34" t="inlineStr">
        <x:is>
          <x:t xml:space="preserve">TASK-007</x:t>
        </x:is>
      </x:c>
      <x:c r="H242" s="36" t="inlineStr">
        <x:is>
          <x:t xml:space="preserve">docs/task-007-incident-report</x:t>
        </x:is>
      </x:c>
      <x:c r="I242" s="34" t="n">
        <x:v>6</x:v>
      </x:c>
      <x:c r="J242" s="36" t="inlineStr">
        <x:is>
          <x:t xml:space="preserve">docs(evidence): attach manifests and workflow run links</x:t>
        </x:is>
      </x:c>
      <x:c r="K242" s="36" t="n"/>
      <x:c r="L242" s="36" t="n"/>
      <x:c r="M242" s="37" t="inlineStr">
        <x:is>
          <x:t xml:space="preserve">Todo</x:t>
        </x:is>
      </x:c>
      <x:c r="N242" s="38" t="n"/>
      <x:c r="O242" s="38" t="n"/>
    </x:row>
    <x:row r="243" s="25" customFormat="1" ht="15" customHeight="1">
      <x:c r="A243" s="34" t="inlineStr">
        <x:is>
          <x:t xml:space="preserve">C237</x:t>
        </x:is>
      </x:c>
      <x:c r="B243" s="34" t="n">
        <x:v>5</x:v>
      </x:c>
      <x:c r="C243" s="35" t="n">
        <x:f>$B$4+31</x:f>
        <x:v>46352</x:v>
      </x:c>
      <x:c r="D243" s="34" t="inlineStr">
        <x:is>
          <x:t xml:space="preserve">Thứ 5</x:t>
        </x:is>
      </x:c>
      <x:c r="E243" s="36" t="inlineStr">
        <x:is>
          <x:t xml:space="preserve">Nguyễn Việt Anh</x:t>
        </x:is>
      </x:c>
      <x:c r="F243" s="36" t="inlineStr">
        <x:is>
          <x:t xml:space="preserve">Release + độ tin cậy</x:t>
        </x:is>
      </x:c>
      <x:c r="G243" s="34" t="inlineStr">
        <x:is>
          <x:t xml:space="preserve">TASK-007</x:t>
        </x:is>
      </x:c>
      <x:c r="H243" s="36" t="inlineStr">
        <x:is>
          <x:t xml:space="preserve">docs/task-007-incident-report</x:t>
        </x:is>
      </x:c>
      <x:c r="I243" s="34" t="n">
        <x:v>7</x:v>
      </x:c>
      <x:c r="J243" s="36" t="inlineStr">
        <x:is>
          <x:t xml:space="preserve">docs: update README actual status table</x:t>
        </x:is>
      </x:c>
      <x:c r="K243" s="36" t="n"/>
      <x:c r="L243" s="36" t="n"/>
      <x:c r="M243" s="37" t="inlineStr">
        <x:is>
          <x:t xml:space="preserve">Todo</x:t>
        </x:is>
      </x:c>
      <x:c r="N243" s="38" t="n"/>
      <x:c r="O243" s="38" t="n"/>
    </x:row>
    <x:row r="244" s="25" customFormat="1" ht="15" customHeight="1">
      <x:c r="A244" s="34" t="inlineStr">
        <x:is>
          <x:t xml:space="preserve">C238</x:t>
        </x:is>
      </x:c>
      <x:c r="B244" s="34" t="n">
        <x:v>5</x:v>
      </x:c>
      <x:c r="C244" s="35" t="n">
        <x:f>$B$4+31</x:f>
        <x:v>46352</x:v>
      </x:c>
      <x:c r="D244" s="34" t="inlineStr">
        <x:is>
          <x:t xml:space="preserve">Thứ 5</x:t>
        </x:is>
      </x:c>
      <x:c r="E244" s="36" t="inlineStr">
        <x:is>
          <x:t xml:space="preserve">Nguyễn Việt Anh</x:t>
        </x:is>
      </x:c>
      <x:c r="F244" s="36" t="inlineStr">
        <x:is>
          <x:t xml:space="preserve">Release + độ tin cậy</x:t>
        </x:is>
      </x:c>
      <x:c r="G244" s="34" t="inlineStr">
        <x:is>
          <x:t xml:space="preserve">TASK-007</x:t>
        </x:is>
      </x:c>
      <x:c r="H244" s="36" t="inlineStr">
        <x:is>
          <x:t xml:space="preserve">docs/task-007-incident-report</x:t>
        </x:is>
      </x:c>
      <x:c r="I244" s="34" t="n">
        <x:v>8</x:v>
      </x:c>
      <x:c r="J244" s="36" t="inlineStr">
        <x:is>
          <x:t xml:space="preserve">docs(tasks): mark TASK-005 and TASK-007 done</x:t>
        </x:is>
      </x:c>
      <x:c r="K244" s="36" t="n"/>
      <x:c r="L244" s="36" t="n"/>
      <x:c r="M244" s="37" t="inlineStr">
        <x:is>
          <x:t xml:space="preserve">Todo</x:t>
        </x:is>
      </x:c>
      <x:c r="N244" s="38" t="n"/>
      <x:c r="O244" s="38" t="n"/>
    </x:row>
    <x:row r="245" s="25" customFormat="1" ht="15" customHeight="1">
      <x:c r="A245" s="34" t="inlineStr">
        <x:is>
          <x:t xml:space="preserve">C239</x:t>
        </x:is>
      </x:c>
      <x:c r="B245" s="34" t="n">
        <x:v>5</x:v>
      </x:c>
      <x:c r="C245" s="35" t="n">
        <x:f>$B$4+32</x:f>
        <x:v>46353</x:v>
      </x:c>
      <x:c r="D245" s="34" t="inlineStr">
        <x:is>
          <x:t xml:space="preserve">Thứ 6</x:t>
        </x:is>
      </x:c>
      <x:c r="E245" s="36" t="inlineStr">
        <x:is>
          <x:t xml:space="preserve">Nguyễn Việt Anh</x:t>
        </x:is>
      </x:c>
      <x:c r="F245" s="36" t="inlineStr">
        <x:is>
          <x:t xml:space="preserve">Release + độ tin cậy</x:t>
        </x:is>
      </x:c>
      <x:c r="G245" s="34" t="inlineStr">
        <x:is>
          <x:t xml:space="preserve">TASK-007</x:t>
        </x:is>
      </x:c>
      <x:c r="H245" s="36" t="inlineStr">
        <x:is>
          <x:t xml:space="preserve">docs/task-007-incident-report</x:t>
        </x:is>
      </x:c>
      <x:c r="I245" s="34" t="n">
        <x:v>9</x:v>
      </x:c>
      <x:c r="J245" s="36" t="inlineStr">
        <x:is>
          <x:t xml:space="preserve">docs(report): reliability section for final report</x:t>
        </x:is>
      </x:c>
      <x:c r="K245" s="36" t="n"/>
      <x:c r="L245" s="36" t="n"/>
      <x:c r="M245" s="37" t="inlineStr">
        <x:is>
          <x:t xml:space="preserve">Todo</x:t>
        </x:is>
      </x:c>
      <x:c r="N245" s="38" t="n"/>
      <x:c r="O245" s="38" t="n"/>
    </x:row>
    <x:row r="246" s="25" customFormat="1" ht="15" customHeight="1">
      <x:c r="A246" s="34" t="inlineStr">
        <x:is>
          <x:t xml:space="preserve">C240</x:t>
        </x:is>
      </x:c>
      <x:c r="B246" s="34" t="n">
        <x:v>5</x:v>
      </x:c>
      <x:c r="C246" s="35" t="n">
        <x:f>$B$4+32</x:f>
        <x:v>46353</x:v>
      </x:c>
      <x:c r="D246" s="34" t="inlineStr">
        <x:is>
          <x:t xml:space="preserve">Thứ 6</x:t>
        </x:is>
      </x:c>
      <x:c r="E246" s="36" t="inlineStr">
        <x:is>
          <x:t xml:space="preserve">Nguyễn Việt Anh</x:t>
        </x:is>
      </x:c>
      <x:c r="F246" s="36" t="inlineStr">
        <x:is>
          <x:t xml:space="preserve">Release + độ tin cậy</x:t>
        </x:is>
      </x:c>
      <x:c r="G246" s="34" t="inlineStr">
        <x:is>
          <x:t xml:space="preserve">TASK-007</x:t>
        </x:is>
      </x:c>
      <x:c r="H246" s="36" t="inlineStr">
        <x:is>
          <x:t xml:space="preserve">docs/task-007-incident-report</x:t>
        </x:is>
      </x:c>
      <x:c r="I246" s="34" t="n">
        <x:v>10</x:v>
      </x:c>
      <x:c r="J246" s="36" t="inlineStr">
        <x:is>
          <x:t xml:space="preserve">docs(releases): add v1.0.0 release notes</x:t>
        </x:is>
      </x:c>
      <x:c r="K246" s="36" t="n"/>
      <x:c r="L246" s="36" t="n"/>
      <x:c r="M246" s="37" t="inlineStr">
        <x:is>
          <x:t xml:space="preserve">Todo</x:t>
        </x:is>
      </x:c>
      <x:c r="N246" s="38" t="n"/>
      <x:c r="O246" s="38" t="n"/>
    </x:row>
    <x:row r="247" s="25" customFormat="1" ht="15" customHeight="1">
      <x:c r="A247" s="34" t="inlineStr">
        <x:is>
          <x:t xml:space="preserve">C241</x:t>
        </x:is>
      </x:c>
      <x:c r="B247" s="34" t="n">
        <x:v>5</x:v>
      </x:c>
      <x:c r="C247" s="35" t="n">
        <x:f>$B$4+28</x:f>
        <x:v>46349</x:v>
      </x:c>
      <x:c r="D247" s="34" t="inlineStr">
        <x:is>
          <x:t xml:space="preserve">Thứ 2</x:t>
        </x:is>
      </x:c>
      <x:c r="E247" s="36" t="inlineStr">
        <x:is>
          <x:t xml:space="preserve">Vũ Thành Công</x:t>
        </x:is>
      </x:c>
      <x:c r="F247" s="36" t="inlineStr">
        <x:is>
          <x:t xml:space="preserve">Observability</x:t>
        </x:is>
      </x:c>
      <x:c r="G247" s="34" t="inlineStr">
        <x:is>
          <x:t xml:space="preserve">TASK-006</x:t>
        </x:is>
      </x:c>
      <x:c r="H247" s="36" t="inlineStr">
        <x:is>
          <x:t xml:space="preserve">docs/task-006-evidence</x:t>
        </x:is>
      </x:c>
      <x:c r="I247" s="34" t="n">
        <x:v>1</x:v>
      </x:c>
      <x:c r="J247" s="36" t="inlineStr">
        <x:is>
          <x:t xml:space="preserve">docs(evidence): record E11 firing and resolved timestamps</x:t>
        </x:is>
      </x:c>
      <x:c r="K247" s="36" t="n"/>
      <x:c r="L247" s="36" t="inlineStr">
        <x:is>
          <x:t xml:space="preserve">Drill chính thức</x:t>
        </x:is>
      </x:c>
      <x:c r="M247" s="37" t="inlineStr">
        <x:is>
          <x:t xml:space="preserve">Todo</x:t>
        </x:is>
      </x:c>
      <x:c r="N247" s="38" t="n"/>
      <x:c r="O247" s="38" t="n"/>
    </x:row>
    <x:row r="248" s="25" customFormat="1" ht="15" customHeight="1">
      <x:c r="A248" s="34" t="inlineStr">
        <x:is>
          <x:t xml:space="preserve">C242</x:t>
        </x:is>
      </x:c>
      <x:c r="B248" s="34" t="n">
        <x:v>5</x:v>
      </x:c>
      <x:c r="C248" s="35" t="n">
        <x:f>$B$4+28</x:f>
        <x:v>46349</x:v>
      </x:c>
      <x:c r="D248" s="34" t="inlineStr">
        <x:is>
          <x:t xml:space="preserve">Thứ 2</x:t>
        </x:is>
      </x:c>
      <x:c r="E248" s="36" t="inlineStr">
        <x:is>
          <x:t xml:space="preserve">Vũ Thành Công</x:t>
        </x:is>
      </x:c>
      <x:c r="F248" s="36" t="inlineStr">
        <x:is>
          <x:t xml:space="preserve">Observability</x:t>
        </x:is>
      </x:c>
      <x:c r="G248" s="34" t="inlineStr">
        <x:is>
          <x:t xml:space="preserve">TASK-006</x:t>
        </x:is>
      </x:c>
      <x:c r="H248" s="36" t="inlineStr">
        <x:is>
          <x:t xml:space="preserve">docs/task-006-evidence</x:t>
        </x:is>
      </x:c>
      <x:c r="I248" s="34" t="n">
        <x:v>2</x:v>
      </x:c>
      <x:c r="J248" s="36" t="inlineStr">
        <x:is>
          <x:t xml:space="preserve">obs(grafana): add incident drill dashboard</x:t>
        </x:is>
      </x:c>
      <x:c r="K248" s="36" t="n"/>
      <x:c r="L248" s="36" t="n"/>
      <x:c r="M248" s="37" t="inlineStr">
        <x:is>
          <x:t xml:space="preserve">Todo</x:t>
        </x:is>
      </x:c>
      <x:c r="N248" s="38" t="n"/>
      <x:c r="O248" s="38" t="n"/>
    </x:row>
    <x:row r="249" s="25" customFormat="1" ht="15" customHeight="1">
      <x:c r="A249" s="34" t="inlineStr">
        <x:is>
          <x:t xml:space="preserve">C243</x:t>
        </x:is>
      </x:c>
      <x:c r="B249" s="34" t="n">
        <x:v>5</x:v>
      </x:c>
      <x:c r="C249" s="35" t="n">
        <x:f>$B$4+29</x:f>
        <x:v>46350</x:v>
      </x:c>
      <x:c r="D249" s="34" t="inlineStr">
        <x:is>
          <x:t xml:space="preserve">Thứ 3</x:t>
        </x:is>
      </x:c>
      <x:c r="E249" s="36" t="inlineStr">
        <x:is>
          <x:t xml:space="preserve">Vũ Thành Công</x:t>
        </x:is>
      </x:c>
      <x:c r="F249" s="36" t="inlineStr">
        <x:is>
          <x:t xml:space="preserve">Observability</x:t>
        </x:is>
      </x:c>
      <x:c r="G249" s="34" t="inlineStr">
        <x:is>
          <x:t xml:space="preserve">TASK-006</x:t>
        </x:is>
      </x:c>
      <x:c r="H249" s="36" t="inlineStr">
        <x:is>
          <x:t xml:space="preserve">docs/task-006-evidence</x:t>
        </x:is>
      </x:c>
      <x:c r="I249" s="34" t="n">
        <x:v>3</x:v>
      </x:c>
      <x:c r="J249" s="36" t="inlineStr">
        <x:is>
          <x:t xml:space="preserve">docs(telemetry): list queries used in drill</x:t>
        </x:is>
      </x:c>
      <x:c r="K249" s="36" t="n"/>
      <x:c r="L249" s="36" t="n"/>
      <x:c r="M249" s="37" t="inlineStr">
        <x:is>
          <x:t xml:space="preserve">Todo</x:t>
        </x:is>
      </x:c>
      <x:c r="N249" s="38" t="n"/>
      <x:c r="O249" s="38" t="n"/>
    </x:row>
    <x:row r="250" s="25" customFormat="1" ht="15" customHeight="1">
      <x:c r="A250" s="34" t="inlineStr">
        <x:is>
          <x:t xml:space="preserve">C244</x:t>
        </x:is>
      </x:c>
      <x:c r="B250" s="34" t="n">
        <x:v>5</x:v>
      </x:c>
      <x:c r="C250" s="35" t="n">
        <x:f>$B$4+29</x:f>
        <x:v>46350</x:v>
      </x:c>
      <x:c r="D250" s="34" t="inlineStr">
        <x:is>
          <x:t xml:space="preserve">Thứ 3</x:t>
        </x:is>
      </x:c>
      <x:c r="E250" s="36" t="inlineStr">
        <x:is>
          <x:t xml:space="preserve">Vũ Thành Công</x:t>
        </x:is>
      </x:c>
      <x:c r="F250" s="36" t="inlineStr">
        <x:is>
          <x:t xml:space="preserve">Observability</x:t>
        </x:is>
      </x:c>
      <x:c r="G250" s="34" t="inlineStr">
        <x:is>
          <x:t xml:space="preserve">TASK-006</x:t>
        </x:is>
      </x:c>
      <x:c r="H250" s="36" t="inlineStr">
        <x:is>
          <x:t xml:space="preserve">docs/task-006-evidence</x:t>
        </x:is>
      </x:c>
      <x:c r="I250" s="34" t="n">
        <x:v>4</x:v>
      </x:c>
      <x:c r="J250" s="36" t="inlineStr">
        <x:is>
          <x:t xml:space="preserve">fix(telemetry): address issues from official drill</x:t>
        </x:is>
      </x:c>
      <x:c r="K250" s="36" t="inlineStr">
        <x:is>
          <x:t xml:space="preserve">Nếu có</x:t>
        </x:is>
      </x:c>
      <x:c r="L250" s="36" t="n"/>
      <x:c r="M250" s="37" t="inlineStr">
        <x:is>
          <x:t xml:space="preserve">Todo</x:t>
        </x:is>
      </x:c>
      <x:c r="N250" s="38" t="n"/>
      <x:c r="O250" s="38" t="n"/>
    </x:row>
    <x:row r="251" s="25" customFormat="1" ht="15" customHeight="1">
      <x:c r="A251" s="34" t="inlineStr">
        <x:is>
          <x:t xml:space="preserve">C245</x:t>
        </x:is>
      </x:c>
      <x:c r="B251" s="34" t="n">
        <x:v>5</x:v>
      </x:c>
      <x:c r="C251" s="35" t="n">
        <x:f>$B$4+30</x:f>
        <x:v>46351</x:v>
      </x:c>
      <x:c r="D251" s="34" t="inlineStr">
        <x:is>
          <x:t xml:space="preserve">Thứ 4</x:t>
        </x:is>
      </x:c>
      <x:c r="E251" s="36" t="inlineStr">
        <x:is>
          <x:t xml:space="preserve">Vũ Thành Công</x:t>
        </x:is>
      </x:c>
      <x:c r="F251" s="36" t="inlineStr">
        <x:is>
          <x:t xml:space="preserve">Observability</x:t>
        </x:is>
      </x:c>
      <x:c r="G251" s="34" t="inlineStr">
        <x:is>
          <x:t xml:space="preserve">TASK-006</x:t>
        </x:is>
      </x:c>
      <x:c r="H251" s="36" t="inlineStr">
        <x:is>
          <x:t xml:space="preserve">docs/task-006-evidence</x:t>
        </x:is>
      </x:c>
      <x:c r="I251" s="34" t="n">
        <x:v>5</x:v>
      </x:c>
      <x:c r="J251" s="36" t="inlineStr">
        <x:is>
          <x:t xml:space="preserve">docs(evidence): add observability evidence index</x:t>
        </x:is>
      </x:c>
      <x:c r="K251" s="36" t="n"/>
      <x:c r="L251" s="36" t="n"/>
      <x:c r="M251" s="37" t="inlineStr">
        <x:is>
          <x:t xml:space="preserve">Todo</x:t>
        </x:is>
      </x:c>
      <x:c r="N251" s="38" t="n"/>
      <x:c r="O251" s="38" t="n"/>
    </x:row>
    <x:row r="252" s="25" customFormat="1" ht="15" customHeight="1">
      <x:c r="A252" s="34" t="inlineStr">
        <x:is>
          <x:t xml:space="preserve">C246</x:t>
        </x:is>
      </x:c>
      <x:c r="B252" s="34" t="n">
        <x:v>5</x:v>
      </x:c>
      <x:c r="C252" s="35" t="n">
        <x:f>$B$4+30</x:f>
        <x:v>46351</x:v>
      </x:c>
      <x:c r="D252" s="34" t="inlineStr">
        <x:is>
          <x:t xml:space="preserve">Thứ 4</x:t>
        </x:is>
      </x:c>
      <x:c r="E252" s="36" t="inlineStr">
        <x:is>
          <x:t xml:space="preserve">Vũ Thành Công</x:t>
        </x:is>
      </x:c>
      <x:c r="F252" s="36" t="inlineStr">
        <x:is>
          <x:t xml:space="preserve">Observability</x:t>
        </x:is>
      </x:c>
      <x:c r="G252" s="34" t="inlineStr">
        <x:is>
          <x:t xml:space="preserve">TASK-006</x:t>
        </x:is>
      </x:c>
      <x:c r="H252" s="36" t="inlineStr">
        <x:is>
          <x:t xml:space="preserve">docs/task-006-evidence</x:t>
        </x:is>
      </x:c>
      <x:c r="I252" s="34" t="n">
        <x:v>6</x:v>
      </x:c>
      <x:c r="J252" s="36" t="inlineStr">
        <x:is>
          <x:t xml:space="preserve">docs(architecture): update telemetry section of runtime view</x:t>
        </x:is>
      </x:c>
      <x:c r="K252" s="36" t="n"/>
      <x:c r="L252" s="36" t="n"/>
      <x:c r="M252" s="37" t="inlineStr">
        <x:is>
          <x:t xml:space="preserve">Todo</x:t>
        </x:is>
      </x:c>
      <x:c r="N252" s="38" t="n"/>
      <x:c r="O252" s="38" t="n"/>
    </x:row>
    <x:row r="253" s="25" customFormat="1" ht="15" customHeight="1">
      <x:c r="A253" s="34" t="inlineStr">
        <x:is>
          <x:t xml:space="preserve">C247</x:t>
        </x:is>
      </x:c>
      <x:c r="B253" s="34" t="n">
        <x:v>5</x:v>
      </x:c>
      <x:c r="C253" s="35" t="n">
        <x:f>$B$4+31</x:f>
        <x:v>46352</x:v>
      </x:c>
      <x:c r="D253" s="34" t="inlineStr">
        <x:is>
          <x:t xml:space="preserve">Thứ 5</x:t>
        </x:is>
      </x:c>
      <x:c r="E253" s="36" t="inlineStr">
        <x:is>
          <x:t xml:space="preserve">Vũ Thành Công</x:t>
        </x:is>
      </x:c>
      <x:c r="F253" s="36" t="inlineStr">
        <x:is>
          <x:t xml:space="preserve">Observability</x:t>
        </x:is>
      </x:c>
      <x:c r="G253" s="34" t="inlineStr">
        <x:is>
          <x:t xml:space="preserve">TASK-006</x:t>
        </x:is>
      </x:c>
      <x:c r="H253" s="36" t="inlineStr">
        <x:is>
          <x:t xml:space="preserve">docs/task-006-evidence</x:t>
        </x:is>
      </x:c>
      <x:c r="I253" s="34" t="n">
        <x:v>7</x:v>
      </x:c>
      <x:c r="J253" s="36" t="inlineStr">
        <x:is>
          <x:t xml:space="preserve">obs(grafana): add availability SLO panel</x:t>
        </x:is>
      </x:c>
      <x:c r="K253" s="36" t="n"/>
      <x:c r="L253" s="36" t="n"/>
      <x:c r="M253" s="37" t="inlineStr">
        <x:is>
          <x:t xml:space="preserve">Todo</x:t>
        </x:is>
      </x:c>
      <x:c r="N253" s="38" t="n"/>
      <x:c r="O253" s="38" t="n"/>
    </x:row>
    <x:row r="254" s="25" customFormat="1" ht="15" customHeight="1">
      <x:c r="A254" s="34" t="inlineStr">
        <x:is>
          <x:t xml:space="preserve">C248</x:t>
        </x:is>
      </x:c>
      <x:c r="B254" s="34" t="n">
        <x:v>5</x:v>
      </x:c>
      <x:c r="C254" s="35" t="n">
        <x:f>$B$4+31</x:f>
        <x:v>46352</x:v>
      </x:c>
      <x:c r="D254" s="34" t="inlineStr">
        <x:is>
          <x:t xml:space="preserve">Thứ 5</x:t>
        </x:is>
      </x:c>
      <x:c r="E254" s="36" t="inlineStr">
        <x:is>
          <x:t xml:space="preserve">Vũ Thành Công</x:t>
        </x:is>
      </x:c>
      <x:c r="F254" s="36" t="inlineStr">
        <x:is>
          <x:t xml:space="preserve">Observability</x:t>
        </x:is>
      </x:c>
      <x:c r="G254" s="34" t="inlineStr">
        <x:is>
          <x:t xml:space="preserve">TASK-006</x:t>
        </x:is>
      </x:c>
      <x:c r="H254" s="36" t="inlineStr">
        <x:is>
          <x:t xml:space="preserve">docs/task-006-evidence</x:t>
        </x:is>
      </x:c>
      <x:c r="I254" s="34" t="n">
        <x:v>8</x:v>
      </x:c>
      <x:c r="J254" s="36" t="inlineStr">
        <x:is>
          <x:t xml:space="preserve">docs(tasks): mark TASK-006 done</x:t>
        </x:is>
      </x:c>
      <x:c r="K254" s="36" t="n"/>
      <x:c r="L254" s="36" t="n"/>
      <x:c r="M254" s="37" t="inlineStr">
        <x:is>
          <x:t xml:space="preserve">Todo</x:t>
        </x:is>
      </x:c>
      <x:c r="N254" s="38" t="n"/>
      <x:c r="O254" s="38" t="n"/>
    </x:row>
    <x:row r="255" s="25" customFormat="1" ht="15" customHeight="1">
      <x:c r="A255" s="34" t="inlineStr">
        <x:is>
          <x:t xml:space="preserve">C249</x:t>
        </x:is>
      </x:c>
      <x:c r="B255" s="34" t="n">
        <x:v>5</x:v>
      </x:c>
      <x:c r="C255" s="35" t="n">
        <x:f>$B$4+32</x:f>
        <x:v>46353</x:v>
      </x:c>
      <x:c r="D255" s="34" t="inlineStr">
        <x:is>
          <x:t xml:space="preserve">Thứ 6</x:t>
        </x:is>
      </x:c>
      <x:c r="E255" s="36" t="inlineStr">
        <x:is>
          <x:t xml:space="preserve">Vũ Thành Công</x:t>
        </x:is>
      </x:c>
      <x:c r="F255" s="36" t="inlineStr">
        <x:is>
          <x:t xml:space="preserve">Observability</x:t>
        </x:is>
      </x:c>
      <x:c r="G255" s="34" t="inlineStr">
        <x:is>
          <x:t xml:space="preserve">TASK-006</x:t>
        </x:is>
      </x:c>
      <x:c r="H255" s="36" t="inlineStr">
        <x:is>
          <x:t xml:space="preserve">docs/task-006-evidence</x:t>
        </x:is>
      </x:c>
      <x:c r="I255" s="34" t="n">
        <x:v>9</x:v>
      </x:c>
      <x:c r="J255" s="36" t="inlineStr">
        <x:is>
          <x:t xml:space="preserve">docs(report): observability section for final report</x:t>
        </x:is>
      </x:c>
      <x:c r="K255" s="36" t="n"/>
      <x:c r="L255" s="36" t="n"/>
      <x:c r="M255" s="37" t="inlineStr">
        <x:is>
          <x:t xml:space="preserve">Todo</x:t>
        </x:is>
      </x:c>
      <x:c r="N255" s="38" t="n"/>
      <x:c r="O255" s="38" t="n"/>
    </x:row>
    <x:row r="256" s="25" customFormat="1" ht="15" customHeight="1">
      <x:c r="A256" s="34" t="inlineStr">
        <x:is>
          <x:t xml:space="preserve">C250</x:t>
        </x:is>
      </x:c>
      <x:c r="B256" s="34" t="n">
        <x:v>5</x:v>
      </x:c>
      <x:c r="C256" s="35" t="n">
        <x:f>$B$4+32</x:f>
        <x:v>46353</x:v>
      </x:c>
      <x:c r="D256" s="34" t="inlineStr">
        <x:is>
          <x:t xml:space="preserve">Thứ 6</x:t>
        </x:is>
      </x:c>
      <x:c r="E256" s="36" t="inlineStr">
        <x:is>
          <x:t xml:space="preserve">Vũ Thành Công</x:t>
        </x:is>
      </x:c>
      <x:c r="F256" s="36" t="inlineStr">
        <x:is>
          <x:t xml:space="preserve">Observability</x:t>
        </x:is>
      </x:c>
      <x:c r="G256" s="34" t="inlineStr">
        <x:is>
          <x:t xml:space="preserve">TASK-006</x:t>
        </x:is>
      </x:c>
      <x:c r="H256" s="36" t="inlineStr">
        <x:is>
          <x:t xml:space="preserve">docs/task-006-evidence</x:t>
        </x:is>
      </x:c>
      <x:c r="I256" s="34" t="n">
        <x:v>10</x:v>
      </x:c>
      <x:c r="J256" s="36" t="inlineStr">
        <x:is>
          <x:t xml:space="preserve">refactor(telemetry): clean up module</x:t>
        </x:is>
      </x:c>
      <x:c r="K256" s="36" t="n"/>
      <x:c r="L256" s="36" t="n"/>
      <x:c r="M256" s="37" t="inlineStr">
        <x:is>
          <x:t xml:space="preserve">Todo</x:t>
        </x:is>
      </x:c>
      <x:c r="N256" s="38" t="n"/>
      <x:c r="O256" s="38" t="n"/>
    </x:row>
  </x:sheetData>
  <x:conditionalFormatting sqref="M7:M256">
    <x:cfRule type="cellIs" dxfId="6" priority="2" aboveAverage="0" percent="0" bottom="0" operator="equal" rank="0" equalAverage="0">
      <x:formula>"Done"</x:formula>
    </x:cfRule>
    <x:cfRule type="cellIs" dxfId="7" priority="3" aboveAverage="0" percent="0" bottom="0" operator="equal" rank="0" equalAverage="0">
      <x:formula>"Đang làm"</x:formula>
    </x:cfRule>
    <x:cfRule type="cellIs" dxfId="8" priority="4" aboveAverage="0" percent="0" bottom="0" operator="equal" rank="0" equalAverage="0">
      <x:formula>"Dời"</x:formula>
    </x:cfRule>
  </x:conditionalFormatting>
  <x:dataValidations count="1">
    <x:dataValidation type="list" errorStyle="stop" operator="between" allowBlank="1" showDropDown="0" showInputMessage="0" showErrorMessage="0" sqref="M7:M256">
      <x:formula1>"Todo,Đang làm,Done,Dời"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a4812b5cc7f744e9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4" style="24" customWidth="1"/>
    <x:col min="2" max="7" width="11" style="24" customWidth="1"/>
  </x:cols>
  <x:sheetData>
    <x:row r="1" s="25" customFormat="1" ht="17.350000381469727" customHeight="1">
      <x:c r="A1" s="26" t="inlineStr">
        <x:is>
          <x:t xml:space="preserve">Tổng hợp commit theo thành viên và tuần</x:t>
        </x:is>
      </x:c>
    </x:row>
    <x:row r="2" s="25" customFormat="1" ht="15" customHeight="1">
      <x:c r="A2" s="29" t="inlineStr">
        <x:is>
          <x:t xml:space="preserve">Mục tiêu mỗi tuần</x:t>
        </x:is>
      </x:c>
      <x:c r="B2" s="42" t="n">
        <x:v>10</x:v>
      </x:c>
    </x:row>
    <x:row r="4" s="25" customFormat="1" ht="15" customHeight="1">
      <x:c r="A4" s="29" t="inlineStr">
        <x:is>
          <x:t xml:space="preserve">Số commit theo kế hoạch</x:t>
        </x:is>
      </x:c>
    </x:row>
    <x:row r="5" s="25" customFormat="1" ht="15" customHeight="1">
      <x:c r="A5" s="33" t="inlineStr">
        <x:is>
          <x:t xml:space="preserve">Thành viên</x:t>
        </x:is>
      </x:c>
      <x:c r="B5" s="33" t="inlineStr">
        <x:is>
          <x:t xml:space="preserve">Tuần 1</x:t>
        </x:is>
      </x:c>
      <x:c r="C5" s="33" t="inlineStr">
        <x:is>
          <x:t xml:space="preserve">Tuần 2</x:t>
        </x:is>
      </x:c>
      <x:c r="D5" s="33" t="inlineStr">
        <x:is>
          <x:t xml:space="preserve">Tuần 3</x:t>
        </x:is>
      </x:c>
      <x:c r="E5" s="33" t="inlineStr">
        <x:is>
          <x:t xml:space="preserve">Tuần 4</x:t>
        </x:is>
      </x:c>
      <x:c r="F5" s="33" t="inlineStr">
        <x:is>
          <x:t xml:space="preserve">Tuần 5</x:t>
        </x:is>
      </x:c>
      <x:c r="G5" s="33" t="inlineStr">
        <x:is>
          <x:t xml:space="preserve">Tổng</x:t>
        </x:is>
      </x:c>
    </x:row>
    <x:row r="6" s="25" customFormat="1" ht="15" customHeight="1">
      <x:c r="A6" s="43" t="inlineStr">
        <x:is>
          <x:t xml:space="preserve">Nguyễn Mai Hoàng Anh</x:t>
        </x:is>
      </x:c>
      <x:c r="B6" s="44" t="n">
        <x:f>COUNTIFS('Lịch chi tiết'!$E$7:$E$256,$A6,'Lịch chi tiết'!$B$7:$B$256,1)</x:f>
        <x:v>10</x:v>
      </x:c>
      <x:c r="C6" s="44" t="n">
        <x:f>COUNTIFS('Lịch chi tiết'!$E$7:$E$256,$A6,'Lịch chi tiết'!$B$7:$B$256,2)</x:f>
        <x:v>10</x:v>
      </x:c>
      <x:c r="D6" s="44" t="n">
        <x:f>COUNTIFS('Lịch chi tiết'!$E$7:$E$256,$A6,'Lịch chi tiết'!$B$7:$B$256,3)</x:f>
        <x:v>10</x:v>
      </x:c>
      <x:c r="E6" s="44" t="n">
        <x:f>COUNTIFS('Lịch chi tiết'!$E$7:$E$256,$A6,'Lịch chi tiết'!$B$7:$B$256,4)</x:f>
        <x:v>10</x:v>
      </x:c>
      <x:c r="F6" s="44" t="n">
        <x:f>COUNTIFS('Lịch chi tiết'!$E$7:$E$256,$A6,'Lịch chi tiết'!$B$7:$B$256,5)</x:f>
        <x:v>10</x:v>
      </x:c>
      <x:c r="G6" s="45" t="n">
        <x:f>SUM(B6:F6)</x:f>
        <x:v>50</x:v>
      </x:c>
    </x:row>
    <x:row r="7" s="25" customFormat="1" ht="15" customHeight="1">
      <x:c r="A7" s="43" t="inlineStr">
        <x:is>
          <x:t xml:space="preserve">Phạm Minh Cương</x:t>
        </x:is>
      </x:c>
      <x:c r="B7" s="44" t="n">
        <x:f>COUNTIFS('Lịch chi tiết'!$E$7:$E$256,$A7,'Lịch chi tiết'!$B$7:$B$256,1)</x:f>
        <x:v>10</x:v>
      </x:c>
      <x:c r="C7" s="44" t="n">
        <x:f>COUNTIFS('Lịch chi tiết'!$E$7:$E$256,$A7,'Lịch chi tiết'!$B$7:$B$256,2)</x:f>
        <x:v>10</x:v>
      </x:c>
      <x:c r="D7" s="44" t="n">
        <x:f>COUNTIFS('Lịch chi tiết'!$E$7:$E$256,$A7,'Lịch chi tiết'!$B$7:$B$256,3)</x:f>
        <x:v>10</x:v>
      </x:c>
      <x:c r="E7" s="44" t="n">
        <x:f>COUNTIFS('Lịch chi tiết'!$E$7:$E$256,$A7,'Lịch chi tiết'!$B$7:$B$256,4)</x:f>
        <x:v>10</x:v>
      </x:c>
      <x:c r="F7" s="44" t="n">
        <x:f>COUNTIFS('Lịch chi tiết'!$E$7:$E$256,$A7,'Lịch chi tiết'!$B$7:$B$256,5)</x:f>
        <x:v>10</x:v>
      </x:c>
      <x:c r="G7" s="45" t="n">
        <x:f>SUM(B7:F7)</x:f>
        <x:v>50</x:v>
      </x:c>
    </x:row>
    <x:row r="8" s="25" customFormat="1" ht="15" customHeight="1">
      <x:c r="A8" s="43" t="inlineStr">
        <x:is>
          <x:t xml:space="preserve">Lê Văn Cường</x:t>
        </x:is>
      </x:c>
      <x:c r="B8" s="44" t="n">
        <x:f>COUNTIFS('Lịch chi tiết'!$E$7:$E$256,$A8,'Lịch chi tiết'!$B$7:$B$256,1)</x:f>
        <x:v>10</x:v>
      </x:c>
      <x:c r="C8" s="44" t="n">
        <x:f>COUNTIFS('Lịch chi tiết'!$E$7:$E$256,$A8,'Lịch chi tiết'!$B$7:$B$256,2)</x:f>
        <x:v>10</x:v>
      </x:c>
      <x:c r="D8" s="44" t="n">
        <x:f>COUNTIFS('Lịch chi tiết'!$E$7:$E$256,$A8,'Lịch chi tiết'!$B$7:$B$256,3)</x:f>
        <x:v>10</x:v>
      </x:c>
      <x:c r="E8" s="44" t="n">
        <x:f>COUNTIFS('Lịch chi tiết'!$E$7:$E$256,$A8,'Lịch chi tiết'!$B$7:$B$256,4)</x:f>
        <x:v>10</x:v>
      </x:c>
      <x:c r="F8" s="44" t="n">
        <x:f>COUNTIFS('Lịch chi tiết'!$E$7:$E$256,$A8,'Lịch chi tiết'!$B$7:$B$256,5)</x:f>
        <x:v>10</x:v>
      </x:c>
      <x:c r="G8" s="45" t="n">
        <x:f>SUM(B8:F8)</x:f>
        <x:v>50</x:v>
      </x:c>
    </x:row>
    <x:row r="9" s="25" customFormat="1" ht="15" customHeight="1">
      <x:c r="A9" s="43" t="inlineStr">
        <x:is>
          <x:t xml:space="preserve">Nguyễn Việt Anh</x:t>
        </x:is>
      </x:c>
      <x:c r="B9" s="44" t="n">
        <x:f>COUNTIFS('Lịch chi tiết'!$E$7:$E$256,$A9,'Lịch chi tiết'!$B$7:$B$256,1)</x:f>
        <x:v>10</x:v>
      </x:c>
      <x:c r="C9" s="44" t="n">
        <x:f>COUNTIFS('Lịch chi tiết'!$E$7:$E$256,$A9,'Lịch chi tiết'!$B$7:$B$256,2)</x:f>
        <x:v>10</x:v>
      </x:c>
      <x:c r="D9" s="44" t="n">
        <x:f>COUNTIFS('Lịch chi tiết'!$E$7:$E$256,$A9,'Lịch chi tiết'!$B$7:$B$256,3)</x:f>
        <x:v>10</x:v>
      </x:c>
      <x:c r="E9" s="44" t="n">
        <x:f>COUNTIFS('Lịch chi tiết'!$E$7:$E$256,$A9,'Lịch chi tiết'!$B$7:$B$256,4)</x:f>
        <x:v>10</x:v>
      </x:c>
      <x:c r="F9" s="44" t="n">
        <x:f>COUNTIFS('Lịch chi tiết'!$E$7:$E$256,$A9,'Lịch chi tiết'!$B$7:$B$256,5)</x:f>
        <x:v>10</x:v>
      </x:c>
      <x:c r="G9" s="45" t="n">
        <x:f>SUM(B9:F9)</x:f>
        <x:v>50</x:v>
      </x:c>
    </x:row>
    <x:row r="10" s="25" customFormat="1" ht="15" customHeight="1">
      <x:c r="A10" s="43" t="inlineStr">
        <x:is>
          <x:t xml:space="preserve">Vũ Thành Công</x:t>
        </x:is>
      </x:c>
      <x:c r="B10" s="44" t="n">
        <x:f>COUNTIFS('Lịch chi tiết'!$E$7:$E$256,$A10,'Lịch chi tiết'!$B$7:$B$256,1)</x:f>
        <x:v>10</x:v>
      </x:c>
      <x:c r="C10" s="44" t="n">
        <x:f>COUNTIFS('Lịch chi tiết'!$E$7:$E$256,$A10,'Lịch chi tiết'!$B$7:$B$256,2)</x:f>
        <x:v>10</x:v>
      </x:c>
      <x:c r="D10" s="44" t="n">
        <x:f>COUNTIFS('Lịch chi tiết'!$E$7:$E$256,$A10,'Lịch chi tiết'!$B$7:$B$256,3)</x:f>
        <x:v>10</x:v>
      </x:c>
      <x:c r="E10" s="44" t="n">
        <x:f>COUNTIFS('Lịch chi tiết'!$E$7:$E$256,$A10,'Lịch chi tiết'!$B$7:$B$256,4)</x:f>
        <x:v>10</x:v>
      </x:c>
      <x:c r="F10" s="44" t="n">
        <x:f>COUNTIFS('Lịch chi tiết'!$E$7:$E$256,$A10,'Lịch chi tiết'!$B$7:$B$256,5)</x:f>
        <x:v>10</x:v>
      </x:c>
      <x:c r="G10" s="45" t="n">
        <x:f>SUM(B10:F10)</x:f>
        <x:v>50</x:v>
      </x:c>
    </x:row>
    <x:row r="11" s="25" customFormat="1" ht="15" customHeight="1">
      <x:c r="A11" s="46" t="inlineStr">
        <x:is>
          <x:t xml:space="preserve">Cả nhóm</x:t>
        </x:is>
      </x:c>
      <x:c r="B11" s="45" t="n">
        <x:f>SUM(B6:B10)</x:f>
        <x:v>50</x:v>
      </x:c>
      <x:c r="C11" s="45" t="n">
        <x:f>SUM(C6:C10)</x:f>
        <x:v>50</x:v>
      </x:c>
      <x:c r="D11" s="45" t="n">
        <x:f>SUM(D6:D10)</x:f>
        <x:v>50</x:v>
      </x:c>
      <x:c r="E11" s="45" t="n">
        <x:f>SUM(E6:E10)</x:f>
        <x:v>50</x:v>
      </x:c>
      <x:c r="F11" s="45" t="n">
        <x:f>SUM(F6:F10)</x:f>
        <x:v>50</x:v>
      </x:c>
      <x:c r="G11" s="45" t="n">
        <x:f>SUM(G6:G10)</x:f>
        <x:v>250</x:v>
      </x:c>
    </x:row>
    <x:row r="14" s="25" customFormat="1" ht="15" customHeight="1">
      <x:c r="A14" s="29" t="inlineStr">
        <x:is>
          <x:t xml:space="preserve">Số commit đã Done</x:t>
        </x:is>
      </x:c>
    </x:row>
    <x:row r="15" s="25" customFormat="1" ht="15" customHeight="1">
      <x:c r="A15" s="33" t="inlineStr">
        <x:is>
          <x:t xml:space="preserve">Thành viên</x:t>
        </x:is>
      </x:c>
      <x:c r="B15" s="33" t="inlineStr">
        <x:is>
          <x:t xml:space="preserve">Tuần 1</x:t>
        </x:is>
      </x:c>
      <x:c r="C15" s="33" t="inlineStr">
        <x:is>
          <x:t xml:space="preserve">Tuần 2</x:t>
        </x:is>
      </x:c>
      <x:c r="D15" s="33" t="inlineStr">
        <x:is>
          <x:t xml:space="preserve">Tuần 3</x:t>
        </x:is>
      </x:c>
      <x:c r="E15" s="33" t="inlineStr">
        <x:is>
          <x:t xml:space="preserve">Tuần 4</x:t>
        </x:is>
      </x:c>
      <x:c r="F15" s="33" t="inlineStr">
        <x:is>
          <x:t xml:space="preserve">Tuần 5</x:t>
        </x:is>
      </x:c>
      <x:c r="G15" s="33" t="inlineStr">
        <x:is>
          <x:t xml:space="preserve">Tổng</x:t>
        </x:is>
      </x:c>
    </x:row>
    <x:row r="16" s="25" customFormat="1" ht="15" customHeight="1">
      <x:c r="A16" s="43" t="inlineStr">
        <x:is>
          <x:t xml:space="preserve">Nguyễn Mai Hoàng Anh</x:t>
        </x:is>
      </x:c>
      <x:c r="B16" s="44" t="n">
        <x:f>COUNTIFS('Lịch chi tiết'!$E$7:$E$256,$A16,'Lịch chi tiết'!$B$7:$B$256,1,'Lịch chi tiết'!$M$7:$M$256,"Done")</x:f>
        <x:v>10</x:v>
      </x:c>
      <x:c r="C16" s="44" t="n">
        <x:f>COUNTIFS('Lịch chi tiết'!$E$7:$E$256,$A16,'Lịch chi tiết'!$B$7:$B$256,2,'Lịch chi tiết'!$M$7:$M$256,"Done")</x:f>
        <x:v>0</x:v>
      </x:c>
      <x:c r="D16" s="44" t="n">
        <x:f>COUNTIFS('Lịch chi tiết'!$E$7:$E$256,$A16,'Lịch chi tiết'!$B$7:$B$256,3,'Lịch chi tiết'!$M$7:$M$256,"Done")</x:f>
        <x:v>0</x:v>
      </x:c>
      <x:c r="E16" s="44" t="n">
        <x:f>COUNTIFS('Lịch chi tiết'!$E$7:$E$256,$A16,'Lịch chi tiết'!$B$7:$B$256,4,'Lịch chi tiết'!$M$7:$M$256,"Done")</x:f>
        <x:v>0</x:v>
      </x:c>
      <x:c r="F16" s="44" t="n">
        <x:f>COUNTIFS('Lịch chi tiết'!$E$7:$E$256,$A16,'Lịch chi tiết'!$B$7:$B$256,5,'Lịch chi tiết'!$M$7:$M$256,"Done")</x:f>
        <x:v>0</x:v>
      </x:c>
      <x:c r="G16" s="45" t="n">
        <x:f>SUM(B16:F16)</x:f>
        <x:v>10</x:v>
      </x:c>
    </x:row>
    <x:row r="17" s="25" customFormat="1" ht="15" customHeight="1">
      <x:c r="A17" s="43" t="inlineStr">
        <x:is>
          <x:t xml:space="preserve">Phạm Minh Cương</x:t>
        </x:is>
      </x:c>
      <x:c r="B17" s="44" t="n">
        <x:f>COUNTIFS('Lịch chi tiết'!$E$7:$E$256,$A17,'Lịch chi tiết'!$B$7:$B$256,1,'Lịch chi tiết'!$M$7:$M$256,"Done")</x:f>
        <x:v>8</x:v>
      </x:c>
      <x:c r="C17" s="44" t="n">
        <x:f>COUNTIFS('Lịch chi tiết'!$E$7:$E$256,$A17,'Lịch chi tiết'!$B$7:$B$256,2,'Lịch chi tiết'!$M$7:$M$256,"Done")</x:f>
        <x:v>0</x:v>
      </x:c>
      <x:c r="D17" s="44" t="n">
        <x:f>COUNTIFS('Lịch chi tiết'!$E$7:$E$256,$A17,'Lịch chi tiết'!$B$7:$B$256,3,'Lịch chi tiết'!$M$7:$M$256,"Done")</x:f>
        <x:v>0</x:v>
      </x:c>
      <x:c r="E17" s="44" t="n">
        <x:f>COUNTIFS('Lịch chi tiết'!$E$7:$E$256,$A17,'Lịch chi tiết'!$B$7:$B$256,4,'Lịch chi tiết'!$M$7:$M$256,"Done")</x:f>
        <x:v>0</x:v>
      </x:c>
      <x:c r="F17" s="44" t="n">
        <x:f>COUNTIFS('Lịch chi tiết'!$E$7:$E$256,$A17,'Lịch chi tiết'!$B$7:$B$256,5,'Lịch chi tiết'!$M$7:$M$256,"Done")</x:f>
        <x:v>0</x:v>
      </x:c>
      <x:c r="G17" s="45" t="n">
        <x:f>SUM(B17:F17)</x:f>
        <x:v>8</x:v>
      </x:c>
    </x:row>
    <x:row r="18" s="25" customFormat="1" ht="15" customHeight="1">
      <x:c r="A18" s="43" t="inlineStr">
        <x:is>
          <x:t xml:space="preserve">Lê Văn Cường</x:t>
        </x:is>
      </x:c>
      <x:c r="B18" s="44" t="n">
        <x:f>COUNTIFS('Lịch chi tiết'!$E$7:$E$256,$A18,'Lịch chi tiết'!$B$7:$B$256,1,'Lịch chi tiết'!$M$7:$M$256,"Done")</x:f>
        <x:v>10</x:v>
      </x:c>
      <x:c r="C18" s="44" t="n">
        <x:f>COUNTIFS('Lịch chi tiết'!$E$7:$E$256,$A18,'Lịch chi tiết'!$B$7:$B$256,2,'Lịch chi tiết'!$M$7:$M$256,"Done")</x:f>
        <x:v>0</x:v>
      </x:c>
      <x:c r="D18" s="44" t="n">
        <x:f>COUNTIFS('Lịch chi tiết'!$E$7:$E$256,$A18,'Lịch chi tiết'!$B$7:$B$256,3,'Lịch chi tiết'!$M$7:$M$256,"Done")</x:f>
        <x:v>0</x:v>
      </x:c>
      <x:c r="E18" s="44" t="n">
        <x:f>COUNTIFS('Lịch chi tiết'!$E$7:$E$256,$A18,'Lịch chi tiết'!$B$7:$B$256,4,'Lịch chi tiết'!$M$7:$M$256,"Done")</x:f>
        <x:v>0</x:v>
      </x:c>
      <x:c r="F18" s="44" t="n">
        <x:f>COUNTIFS('Lịch chi tiết'!$E$7:$E$256,$A18,'Lịch chi tiết'!$B$7:$B$256,5,'Lịch chi tiết'!$M$7:$M$256,"Done")</x:f>
        <x:v>0</x:v>
      </x:c>
      <x:c r="G18" s="45" t="n">
        <x:f>SUM(B18:F18)</x:f>
        <x:v>10</x:v>
      </x:c>
    </x:row>
    <x:row r="19" s="25" customFormat="1" ht="15" customHeight="1">
      <x:c r="A19" s="43" t="inlineStr">
        <x:is>
          <x:t xml:space="preserve">Nguyễn Việt Anh</x:t>
        </x:is>
      </x:c>
      <x:c r="B19" s="44" t="n">
        <x:f>COUNTIFS('Lịch chi tiết'!$E$7:$E$256,$A19,'Lịch chi tiết'!$B$7:$B$256,1,'Lịch chi tiết'!$M$7:$M$256,"Done")</x:f>
        <x:v>10</x:v>
      </x:c>
      <x:c r="C19" s="44" t="n">
        <x:f>COUNTIFS('Lịch chi tiết'!$E$7:$E$256,$A19,'Lịch chi tiết'!$B$7:$B$256,2,'Lịch chi tiết'!$M$7:$M$256,"Done")</x:f>
        <x:v>0</x:v>
      </x:c>
      <x:c r="D19" s="44" t="n">
        <x:f>COUNTIFS('Lịch chi tiết'!$E$7:$E$256,$A19,'Lịch chi tiết'!$B$7:$B$256,3,'Lịch chi tiết'!$M$7:$M$256,"Done")</x:f>
        <x:v>0</x:v>
      </x:c>
      <x:c r="E19" s="44" t="n">
        <x:f>COUNTIFS('Lịch chi tiết'!$E$7:$E$256,$A19,'Lịch chi tiết'!$B$7:$B$256,4,'Lịch chi tiết'!$M$7:$M$256,"Done")</x:f>
        <x:v>0</x:v>
      </x:c>
      <x:c r="F19" s="44" t="n">
        <x:f>COUNTIFS('Lịch chi tiết'!$E$7:$E$256,$A19,'Lịch chi tiết'!$B$7:$B$256,5,'Lịch chi tiết'!$M$7:$M$256,"Done")</x:f>
        <x:v>0</x:v>
      </x:c>
      <x:c r="G19" s="45" t="n">
        <x:f>SUM(B19:F19)</x:f>
        <x:v>10</x:v>
      </x:c>
    </x:row>
    <x:row r="20" s="25" customFormat="1" ht="15" customHeight="1">
      <x:c r="A20" s="43" t="inlineStr">
        <x:is>
          <x:t xml:space="preserve">Vũ Thành Công</x:t>
        </x:is>
      </x:c>
      <x:c r="B20" s="44" t="n">
        <x:f>COUNTIFS('Lịch chi tiết'!$E$7:$E$256,$A20,'Lịch chi tiết'!$B$7:$B$256,1,'Lịch chi tiết'!$M$7:$M$256,"Done")</x:f>
        <x:v>10</x:v>
      </x:c>
      <x:c r="C20" s="44" t="n">
        <x:f>COUNTIFS('Lịch chi tiết'!$E$7:$E$256,$A20,'Lịch chi tiết'!$B$7:$B$256,2,'Lịch chi tiết'!$M$7:$M$256,"Done")</x:f>
        <x:v>0</x:v>
      </x:c>
      <x:c r="D20" s="44" t="n">
        <x:f>COUNTIFS('Lịch chi tiết'!$E$7:$E$256,$A20,'Lịch chi tiết'!$B$7:$B$256,3,'Lịch chi tiết'!$M$7:$M$256,"Done")</x:f>
        <x:v>0</x:v>
      </x:c>
      <x:c r="E20" s="44" t="n">
        <x:f>COUNTIFS('Lịch chi tiết'!$E$7:$E$256,$A20,'Lịch chi tiết'!$B$7:$B$256,4,'Lịch chi tiết'!$M$7:$M$256,"Done")</x:f>
        <x:v>0</x:v>
      </x:c>
      <x:c r="F20" s="44" t="n">
        <x:f>COUNTIFS('Lịch chi tiết'!$E$7:$E$256,$A20,'Lịch chi tiết'!$B$7:$B$256,5,'Lịch chi tiết'!$M$7:$M$256,"Done")</x:f>
        <x:v>0</x:v>
      </x:c>
      <x:c r="G20" s="45" t="n">
        <x:f>SUM(B20:F20)</x:f>
        <x:v>10</x:v>
      </x:c>
    </x:row>
    <x:row r="21" s="25" customFormat="1" ht="15" customHeight="1">
      <x:c r="A21" s="46" t="inlineStr">
        <x:is>
          <x:t xml:space="preserve">Cả nhóm</x:t>
        </x:is>
      </x:c>
      <x:c r="B21" s="45" t="n">
        <x:f>SUM(B16:B20)</x:f>
        <x:v>48</x:v>
      </x:c>
      <x:c r="C21" s="45" t="n">
        <x:f>SUM(C16:C20)</x:f>
        <x:v>0</x:v>
      </x:c>
      <x:c r="D21" s="45" t="n">
        <x:f>SUM(D16:D20)</x:f>
        <x:v>0</x:v>
      </x:c>
      <x:c r="E21" s="45" t="n">
        <x:f>SUM(E16:E20)</x:f>
        <x:v>0</x:v>
      </x:c>
      <x:c r="F21" s="45" t="n">
        <x:f>SUM(F16:F20)</x:f>
        <x:v>0</x:v>
      </x:c>
      <x:c r="G21" s="45" t="n">
        <x:f>SUM(G16:G20)</x:f>
        <x:v>48</x:v>
      </x:c>
    </x:row>
    <x:row r="24" s="25" customFormat="1" ht="15" customHeight="1">
      <x:c r="A24" s="29" t="inlineStr">
        <x:is>
          <x:t xml:space="preserve">Tỷ lệ hoàn thành so với mục tiêu</x:t>
        </x:is>
      </x:c>
    </x:row>
    <x:row r="25" s="25" customFormat="1" ht="15" customHeight="1">
      <x:c r="A25" s="33" t="inlineStr">
        <x:is>
          <x:t xml:space="preserve">Thành viên</x:t>
        </x:is>
      </x:c>
      <x:c r="B25" s="33" t="inlineStr">
        <x:is>
          <x:t xml:space="preserve">Tuần 1</x:t>
        </x:is>
      </x:c>
      <x:c r="C25" s="33" t="inlineStr">
        <x:is>
          <x:t xml:space="preserve">Tuần 2</x:t>
        </x:is>
      </x:c>
      <x:c r="D25" s="33" t="inlineStr">
        <x:is>
          <x:t xml:space="preserve">Tuần 3</x:t>
        </x:is>
      </x:c>
      <x:c r="E25" s="33" t="inlineStr">
        <x:is>
          <x:t xml:space="preserve">Tuần 4</x:t>
        </x:is>
      </x:c>
      <x:c r="F25" s="33" t="inlineStr">
        <x:is>
          <x:t xml:space="preserve">Tuần 5</x:t>
        </x:is>
      </x:c>
      <x:c r="G25" s="33" t="inlineStr">
        <x:is>
          <x:t xml:space="preserve">Tổng</x:t>
        </x:is>
      </x:c>
    </x:row>
    <x:row r="26" s="25" customFormat="1" ht="15" customHeight="1">
      <x:c r="A26" s="43" t="inlineStr">
        <x:is>
          <x:t xml:space="preserve">Nguyễn Mai Hoàng Anh</x:t>
        </x:is>
      </x:c>
      <x:c r="B26" s="47" t="n">
        <x:f>IF($B$2=0,0,B16/$B$2)</x:f>
        <x:v>1</x:v>
      </x:c>
      <x:c r="C26" s="47" t="n">
        <x:f>IF($B$2=0,0,C16/$B$2)</x:f>
        <x:v>0</x:v>
      </x:c>
      <x:c r="D26" s="47" t="n">
        <x:f>IF($B$2=0,0,D16/$B$2)</x:f>
        <x:v>0</x:v>
      </x:c>
      <x:c r="E26" s="47" t="n">
        <x:f>IF($B$2=0,0,E16/$B$2)</x:f>
        <x:v>0</x:v>
      </x:c>
      <x:c r="F26" s="47" t="n">
        <x:f>IF($B$2=0,0,F16/$B$2)</x:f>
        <x:v>0</x:v>
      </x:c>
      <x:c r="G26" s="48" t="n">
        <x:f>IF($B$2=0,0,G16/($B$2*5))</x:f>
        <x:v>0.2</x:v>
      </x:c>
    </x:row>
    <x:row r="27" s="25" customFormat="1" ht="15" customHeight="1">
      <x:c r="A27" s="43" t="inlineStr">
        <x:is>
          <x:t xml:space="preserve">Phạm Minh Cương</x:t>
        </x:is>
      </x:c>
      <x:c r="B27" s="47" t="n">
        <x:f>IF($B$2=0,0,B17/$B$2)</x:f>
        <x:v>0.8</x:v>
      </x:c>
      <x:c r="C27" s="47" t="n">
        <x:f>IF($B$2=0,0,C17/$B$2)</x:f>
        <x:v>0</x:v>
      </x:c>
      <x:c r="D27" s="47" t="n">
        <x:f>IF($B$2=0,0,D17/$B$2)</x:f>
        <x:v>0</x:v>
      </x:c>
      <x:c r="E27" s="47" t="n">
        <x:f>IF($B$2=0,0,E17/$B$2)</x:f>
        <x:v>0</x:v>
      </x:c>
      <x:c r="F27" s="47" t="n">
        <x:f>IF($B$2=0,0,F17/$B$2)</x:f>
        <x:v>0</x:v>
      </x:c>
      <x:c r="G27" s="48" t="n">
        <x:f>IF($B$2=0,0,G17/($B$2*5))</x:f>
        <x:v>0.16</x:v>
      </x:c>
    </x:row>
    <x:row r="28" s="25" customFormat="1" ht="15" customHeight="1">
      <x:c r="A28" s="43" t="inlineStr">
        <x:is>
          <x:t xml:space="preserve">Lê Văn Cường</x:t>
        </x:is>
      </x:c>
      <x:c r="B28" s="47" t="n">
        <x:f>IF($B$2=0,0,B18/$B$2)</x:f>
        <x:v>1</x:v>
      </x:c>
      <x:c r="C28" s="47" t="n">
        <x:f>IF($B$2=0,0,C18/$B$2)</x:f>
        <x:v>0</x:v>
      </x:c>
      <x:c r="D28" s="47" t="n">
        <x:f>IF($B$2=0,0,D18/$B$2)</x:f>
        <x:v>0</x:v>
      </x:c>
      <x:c r="E28" s="47" t="n">
        <x:f>IF($B$2=0,0,E18/$B$2)</x:f>
        <x:v>0</x:v>
      </x:c>
      <x:c r="F28" s="47" t="n">
        <x:f>IF($B$2=0,0,F18/$B$2)</x:f>
        <x:v>0</x:v>
      </x:c>
      <x:c r="G28" s="48" t="n">
        <x:f>IF($B$2=0,0,G18/($B$2*5))</x:f>
        <x:v>0.2</x:v>
      </x:c>
    </x:row>
    <x:row r="29" s="25" customFormat="1" ht="15" customHeight="1">
      <x:c r="A29" s="43" t="inlineStr">
        <x:is>
          <x:t xml:space="preserve">Nguyễn Việt Anh</x:t>
        </x:is>
      </x:c>
      <x:c r="B29" s="47" t="n">
        <x:f>IF($B$2=0,0,B19/$B$2)</x:f>
        <x:v>1</x:v>
      </x:c>
      <x:c r="C29" s="47" t="n">
        <x:f>IF($B$2=0,0,C19/$B$2)</x:f>
        <x:v>0</x:v>
      </x:c>
      <x:c r="D29" s="47" t="n">
        <x:f>IF($B$2=0,0,D19/$B$2)</x:f>
        <x:v>0</x:v>
      </x:c>
      <x:c r="E29" s="47" t="n">
        <x:f>IF($B$2=0,0,E19/$B$2)</x:f>
        <x:v>0</x:v>
      </x:c>
      <x:c r="F29" s="47" t="n">
        <x:f>IF($B$2=0,0,F19/$B$2)</x:f>
        <x:v>0</x:v>
      </x:c>
      <x:c r="G29" s="48" t="n">
        <x:f>IF($B$2=0,0,G19/($B$2*5))</x:f>
        <x:v>0.2</x:v>
      </x:c>
    </x:row>
    <x:row r="30" s="25" customFormat="1" ht="15" customHeight="1">
      <x:c r="A30" s="43" t="inlineStr">
        <x:is>
          <x:t xml:space="preserve">Vũ Thành Công</x:t>
        </x:is>
      </x:c>
      <x:c r="B30" s="47" t="n">
        <x:f>IF($B$2=0,0,B20/$B$2)</x:f>
        <x:v>1</x:v>
      </x:c>
      <x:c r="C30" s="47" t="n">
        <x:f>IF($B$2=0,0,C20/$B$2)</x:f>
        <x:v>0</x:v>
      </x:c>
      <x:c r="D30" s="47" t="n">
        <x:f>IF($B$2=0,0,D20/$B$2)</x:f>
        <x:v>0</x:v>
      </x:c>
      <x:c r="E30" s="47" t="n">
        <x:f>IF($B$2=0,0,E20/$B$2)</x:f>
        <x:v>0</x:v>
      </x:c>
      <x:c r="F30" s="47" t="n">
        <x:f>IF($B$2=0,0,F20/$B$2)</x:f>
        <x:v>0</x:v>
      </x:c>
      <x:c r="G30" s="48" t="n">
        <x:f>IF($B$2=0,0,G20/($B$2*5))</x:f>
        <x:v>0.2</x:v>
      </x:c>
    </x:row>
  </x:sheetData>
  <x:conditionalFormatting sqref="B16:F20">
    <x:cfRule type="cellIs" dxfId="9" priority="2" aboveAverage="0" percent="0" bottom="0" operator="greaterThanOrEqual" rank="0" equalAverage="0">
      <x:formula>$B$2</x:formula>
    </x:cfRule>
  </x:conditionalFormatting>
  <x:conditionalFormatting sqref="B26:G30">
    <x:cfRule type="cellIs" dxfId="9" priority="3" aboveAverage="0" percent="0" bottom="0" operator="greaterThanOrEqual" rank="0" equalAverage="0">
      <x:formula>1</x:formula>
    </x:cfRule>
    <x:cfRule type="expression" dxfId="10" priority="4" aboveAverage="0" percent="0" bottom="0" rank="0" equalAverage="0">
      <x:formula>AND(B26&gt;0,B26&lt;0.5)</x:formula>
    </x:cfRule>
  </x:conditionalFormatting>
  <x:pageMargins left="0.7" right="0.7" top="0.75" bottom="0.75" header="0.3" footer="0.3"/>
  <x:legacyDrawing xmlns:r="http://schemas.openxmlformats.org/officeDocument/2006/relationships" r:id="Rb51e003be7bd41ab"/>
</x:worksheet>
</file>