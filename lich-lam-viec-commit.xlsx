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ướng dẫn" sheetId="1" state="visible" r:id="rId3"/>
    <sheet name="Lịch chi tiết" sheetId="2" state="visible" r:id="rId4"/>
    <sheet name="Tổng hợp" sheetId="3" state="visible" r:id="rId5"/>
  </sheets>
  <definedNames>
    <definedName function="false" hidden="true" localSheetId="1" name="_xlnm._FilterDatabase" vbProcedure="false">'Lịch chi tiết'!$A$6:$O$256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Giả định: tuần 1 bắt đầu 26/10/2026. Sửa ô này nếu lịch thật khác; cột Ngày tự cập nhật.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Mục tiêu 10 commit/người/tuần theo yêu cầu của nhóm.</t>
        </r>
      </text>
    </comment>
  </commentList>
</comments>
</file>

<file path=xl/sharedStrings.xml><?xml version="1.0" encoding="utf-8"?>
<sst xmlns="http://schemas.openxmlformats.org/spreadsheetml/2006/main" count="2270" uniqueCount="765">
  <si>
    <t xml:space="preserve">Lịch làm việc theo commit — SE2026-T29</t>
  </si>
  <si>
    <t xml:space="preserve">Mục tiêu</t>
  </si>
  <si>
    <t xml:space="preserve">Mỗi thành viên có 10 commit có ý nghĩa mỗi tuần (2 commit/ngày, thứ 2 – thứ 6), bám theo phân công trong phan-cong-cong-viec.md.</t>
  </si>
  <si>
    <t xml:space="preserve">Khoảng thời gian</t>
  </si>
  <si>
    <t xml:space="preserve">5 tuần, từ 26/10/2026 đến 29/11/2026. Giả định do Claude đặt; sửa ô B4 ở sheet 'Lịch chi tiết' nếu bắt đầu ngày khác.</t>
  </si>
  <si>
    <t xml:space="preserve">Cách dùng</t>
  </si>
  <si>
    <t xml:space="preserve">Mở sheet 'Lịch chi tiết', lọc cột 'Thành viên' để xem việc của mình. Sau mỗi commit: đổi 'Trạng thái' và dán hash hoặc link commit.</t>
  </si>
  <si>
    <t xml:space="preserve">Ô cần điền</t>
  </si>
  <si>
    <t xml:space="preserve">Chỉ các ô nền vàng, chữ xanh: 'Trạng thái', 'Commit hash / link', 'Ghi chú'. Các cột khác là kế hoạch.</t>
  </si>
  <si>
    <t xml:space="preserve">Trạng thái</t>
  </si>
  <si>
    <t xml:space="preserve">Todo · Đang làm · Done · Dời — chọn từ danh sách thả xuống.</t>
  </si>
  <si>
    <t xml:space="preserve">Theo dõi</t>
  </si>
  <si>
    <t xml:space="preserve">Sheet 'Tổng hợp' tự đếm số commit kế hoạch và số commit Done của từng người theo tuần (công thức COUNTIFS).</t>
  </si>
  <si>
    <t xml:space="preserve">Nguyên tắc commit</t>
  </si>
  <si>
    <t xml:space="preserve">Mỗi commit là một thay đổi nhỏ, hoàn chỉnh, build/test vẫn pass. Không tách nhỏ giả tạo hay commit rỗng để đủ số: giảng viên xem nội dung diff, không chỉ đếm.</t>
  </si>
  <si>
    <t xml:space="preserve">Nhánh và PR</t>
  </si>
  <si>
    <t xml:space="preserve">Mỗi người một nhánh mỗi tuần (cột 'Nhánh'), mở PR vào main cuối tuần hoặc sớm hơn khi xong một phần. PR cần CI xanh và 1 người review.</t>
  </si>
  <si>
    <t xml:space="preserve">Commit message</t>
  </si>
  <si>
    <t xml:space="preserve">Conventional Commits, tiếng Anh như repo hiện tại. Message trong lịch là gợi ý, được sửa cho đúng thay đổi thực tế.</t>
  </si>
  <si>
    <t xml:space="preserve">Khi bị chặn</t>
  </si>
  <si>
    <t xml:space="preserve">Nếu việc phụ thuộc chưa xong (cột 'Phụ thuộc'), đổi sang commit khác trong tuần và ghi chú; báo nhóm trong buổi daily.</t>
  </si>
  <si>
    <t xml:space="preserve">Việc 'nếu có'</t>
  </si>
  <si>
    <t xml:space="preserve">Một số commit sửa lỗi sau diễn tập ghi 'Nếu có'. Không có lỗi thì thay bằng việc khác cùng hạng mục và ghi chú.</t>
  </si>
  <si>
    <t xml:space="preserve">Chủ đề từng tuần</t>
  </si>
  <si>
    <t xml:space="preserve">Tuần 1</t>
  </si>
  <si>
    <t xml:space="preserve">Nền móng: CI, fault injection, khung UI, khung telemetry, manifest</t>
  </si>
  <si>
    <t xml:space="preserve">Tuần 2</t>
  </si>
  <si>
    <t xml:space="preserve">Hoàn thiện lõi: CD lên máy demo, log JSON, UI đặt/huỷ, metrics, k6</t>
  </si>
  <si>
    <t xml:space="preserve">Tuần 3</t>
  </si>
  <si>
    <t xml:space="preserve">Tích hợp: stack observability, span/metric nghiệp vụ, E2E, dashboard, drill tools</t>
  </si>
  <si>
    <t xml:space="preserve">Tuần 4</t>
  </si>
  <si>
    <t xml:space="preserve">Cảnh báo và tập dượt: alert rules, Alertmanager, E2E trong CI, diễn tập lần 1</t>
  </si>
  <si>
    <t xml:space="preserve">Tuần 5</t>
  </si>
  <si>
    <t xml:space="preserve">Trình diễn: incident drill chính thức, evidence E01–E16, báo cáo, slide</t>
  </si>
  <si>
    <t xml:space="preserve">Thành viên</t>
  </si>
  <si>
    <t xml:space="preserve">Nguyễn Mai Hoàng Anh</t>
  </si>
  <si>
    <t xml:space="preserve">DevOps — CI/CD + hạ tầng monitoring</t>
  </si>
  <si>
    <t xml:space="preserve">Phạm Minh Cương</t>
  </si>
  <si>
    <t xml:space="preserve">Backend + kiến trúc</t>
  </si>
  <si>
    <t xml:space="preserve">Lê Văn Cường</t>
  </si>
  <si>
    <t xml:space="preserve">Frontend + E2E</t>
  </si>
  <si>
    <t xml:space="preserve">Nguyễn Việt Anh</t>
  </si>
  <si>
    <t xml:space="preserve">Release + độ tin cậy</t>
  </si>
  <si>
    <t xml:space="preserve">Vũ Thành Công</t>
  </si>
  <si>
    <t xml:space="preserve">Observability</t>
  </si>
  <si>
    <t xml:space="preserve">Lịch commit chi tiết</t>
  </si>
  <si>
    <t xml:space="preserve">Ô nền vàng chữ xanh là ô cần điền. Ngày được tính từ ngày bắt đầu ở ô B4.</t>
  </si>
  <si>
    <t xml:space="preserve">Ngày bắt đầu (thứ 2 tuần 1)</t>
  </si>
  <si>
    <t xml:space="preserve">ID</t>
  </si>
  <si>
    <t xml:space="preserve">Tuần</t>
  </si>
  <si>
    <t xml:space="preserve">Ngày</t>
  </si>
  <si>
    <t xml:space="preserve">Thứ</t>
  </si>
  <si>
    <t xml:space="preserve">Role</t>
  </si>
  <si>
    <t xml:space="preserve">Task</t>
  </si>
  <si>
    <t xml:space="preserve">Nhánh</t>
  </si>
  <si>
    <t xml:space="preserve">STT commit trong tuần</t>
  </si>
  <si>
    <t xml:space="preserve">Commit message (gợi ý)</t>
  </si>
  <si>
    <t xml:space="preserve">Việc cần làm</t>
  </si>
  <si>
    <t xml:space="preserve">Phụ thuộc</t>
  </si>
  <si>
    <t xml:space="preserve">Commit hash / link</t>
  </si>
  <si>
    <t xml:space="preserve">Ghi chú</t>
  </si>
  <si>
    <t xml:space="preserve">C001</t>
  </si>
  <si>
    <t xml:space="preserve">Thứ 2</t>
  </si>
  <si>
    <t xml:space="preserve">TASK-004</t>
  </si>
  <si>
    <t xml:space="preserve">feat/task-004-ci-hardening</t>
  </si>
  <si>
    <t xml:space="preserve">ci: add concurrency group and pip cache to ci workflow</t>
  </si>
  <si>
    <t xml:space="preserve">Huỷ run cũ khi push mới; cache pip để CI nhanh hơn</t>
  </si>
  <si>
    <t xml:space="preserve">Todo</t>
  </si>
  <si>
    <t xml:space="preserve">C002</t>
  </si>
  <si>
    <t xml:space="preserve">ci: add Trivy image scan job in report-only mode</t>
  </si>
  <si>
    <t xml:space="preserve">Scan image backend, xuất báo cáo, chưa chặn build</t>
  </si>
  <si>
    <t xml:space="preserve">C003</t>
  </si>
  <si>
    <t xml:space="preserve">Thứ 3</t>
  </si>
  <si>
    <t xml:space="preserve">deploy: add healthcheck wait and named network to local compose</t>
  </si>
  <si>
    <t xml:space="preserve">Chuẩn hoá deploy/compose.yaml để dùng được `--wait`</t>
  </si>
  <si>
    <t xml:space="preserve">C004</t>
  </si>
  <si>
    <t xml:space="preserve">ci: add compose-smoke job starting stack with --wait</t>
  </si>
  <si>
    <t xml:space="preserve">Job mới dựng stack bằng Docker Compose trong CI</t>
  </si>
  <si>
    <t xml:space="preserve">C005</t>
  </si>
  <si>
    <t xml:space="preserve">Thứ 4</t>
  </si>
  <si>
    <t xml:space="preserve">ci: run smoke_test.py against compose stack</t>
  </si>
  <si>
    <t xml:space="preserve">Gọi scripts/smoke_test.py sau khi stack sẵn sàng</t>
  </si>
  <si>
    <t xml:space="preserve">C006</t>
  </si>
  <si>
    <t xml:space="preserve">test: verify bookings persist after backend recreate</t>
  </si>
  <si>
    <t xml:space="preserve">Tạo booking → recreate backend → đọc lại (E13)</t>
  </si>
  <si>
    <t xml:space="preserve">C007</t>
  </si>
  <si>
    <t xml:space="preserve">Thứ 5</t>
  </si>
  <si>
    <t xml:space="preserve">ci: upload pytest JUnit reports as artifacts</t>
  </si>
  <si>
    <t xml:space="preserve">Lưu kết quả test làm bằng chứng</t>
  </si>
  <si>
    <t xml:space="preserve">C008</t>
  </si>
  <si>
    <t xml:space="preserve">chore: add Dependabot config for pip and GitHub Actions</t>
  </si>
  <si>
    <t xml:space="preserve">Tự động đề xuất cập nhật dependency</t>
  </si>
  <si>
    <t xml:space="preserve">C009</t>
  </si>
  <si>
    <t xml:space="preserve">Thứ 6</t>
  </si>
  <si>
    <t xml:space="preserve">docs(devops): add local run guide and env var table</t>
  </si>
  <si>
    <t xml:space="preserve">Hướng dẫn chạy local bằng một lệnh</t>
  </si>
  <si>
    <t xml:space="preserve">C010</t>
  </si>
  <si>
    <t xml:space="preserve">docs(evidence): record E07 failing PR and E13 result</t>
  </si>
  <si>
    <t xml:space="preserve">Bật branch protection, mở PR fail cố ý, ghi link run</t>
  </si>
  <si>
    <t xml:space="preserve">Branch protection trên main</t>
  </si>
  <si>
    <t xml:space="preserve">C011</t>
  </si>
  <si>
    <t xml:space="preserve">TASK-001</t>
  </si>
  <si>
    <t xml:space="preserve">feat/task-001-adr-fault-injection</t>
  </si>
  <si>
    <t xml:space="preserve">docs(adr): add team review notes to ADR-001</t>
  </si>
  <si>
    <t xml:space="preserve">Tổ chức buổi review kiến trúc, ghi ý kiến</t>
  </si>
  <si>
    <t xml:space="preserve">Cả nhóm dự review</t>
  </si>
  <si>
    <t xml:space="preserve">C012</t>
  </si>
  <si>
    <t xml:space="preserve">docs(adr): mark ADR-001 accepted</t>
  </si>
  <si>
    <t xml:space="preserve">Cập nhật trạng thái ADR và architecture README</t>
  </si>
  <si>
    <t xml:space="preserve">C013</t>
  </si>
  <si>
    <t xml:space="preserve">feat(config): add fault injection settings</t>
  </si>
  <si>
    <t xml:space="preserve">BOOKING_FAULT_MODE, _RATE, _UNTIL trong config.py</t>
  </si>
  <si>
    <t xml:space="preserve">C014</t>
  </si>
  <si>
    <t xml:space="preserve">feat(fault): add fault injector with expiry check</t>
  </si>
  <si>
    <t xml:space="preserve">Fault tự tắt sau BOOKING_FAULT_UNTIL</t>
  </si>
  <si>
    <t xml:space="preserve">C015</t>
  </si>
  <si>
    <t xml:space="preserve">test(fault): cover expiry and rate behaviour</t>
  </si>
  <si>
    <t xml:space="preserve">Unit test cho thời hạn và tỷ lệ</t>
  </si>
  <si>
    <t xml:space="preserve">C016</t>
  </si>
  <si>
    <t xml:space="preserve">feat(booking): apply error fault before DB write</t>
  </si>
  <si>
    <t xml:space="preserve">Trả 500 trước khi ghi DB khi mode=error</t>
  </si>
  <si>
    <t xml:space="preserve">C017</t>
  </si>
  <si>
    <t xml:space="preserve">test(api): return 500 when error fault is active</t>
  </si>
  <si>
    <t xml:space="preserve">Integration test với PostgreSQL</t>
  </si>
  <si>
    <t xml:space="preserve">C018</t>
  </si>
  <si>
    <t xml:space="preserve">feat(fault): add latency mode with configurable delay</t>
  </si>
  <si>
    <t xml:space="preserve">Chậm N giây khi mode=latency</t>
  </si>
  <si>
    <t xml:space="preserve">C019</t>
  </si>
  <si>
    <t xml:space="preserve">test(fault): cover latency mode</t>
  </si>
  <si>
    <t xml:space="preserve">Unit test latency</t>
  </si>
  <si>
    <t xml:space="preserve">C020</t>
  </si>
  <si>
    <t xml:space="preserve">docs(backend): document fault injection env vars</t>
  </si>
  <si>
    <t xml:space="preserve">Cập nhật backend/README.md và .env.example</t>
  </si>
  <si>
    <t xml:space="preserve">C021</t>
  </si>
  <si>
    <t xml:space="preserve">TASK-003</t>
  </si>
  <si>
    <t xml:space="preserve">feat/task-003-ui-scaffold</t>
  </si>
  <si>
    <t xml:space="preserve">chore(frontend): scaffold React, Vite and TypeScript app</t>
  </si>
  <si>
    <t xml:space="preserve">Tạo thư mục frontend/</t>
  </si>
  <si>
    <t xml:space="preserve">C022</t>
  </si>
  <si>
    <t xml:space="preserve">chore(frontend): add ESLint, Prettier and Vitest config</t>
  </si>
  <si>
    <t xml:space="preserve">C023</t>
  </si>
  <si>
    <t xml:space="preserve">feat(frontend): add API client with typed errors</t>
  </si>
  <si>
    <t xml:space="preserve">Phân biệt lỗi 409, 4xx, 5xx</t>
  </si>
  <si>
    <t xml:space="preserve">C024</t>
  </si>
  <si>
    <t xml:space="preserve">feat(frontend): add Slot and Appointment types</t>
  </si>
  <si>
    <t xml:space="preserve">Theo schema backend</t>
  </si>
  <si>
    <t xml:space="preserve">C025</t>
  </si>
  <si>
    <t xml:space="preserve">feat(frontend): add date picker and slot list page</t>
  </si>
  <si>
    <t xml:space="preserve">Gọi GET /api/slots</t>
  </si>
  <si>
    <t xml:space="preserve">C026</t>
  </si>
  <si>
    <t xml:space="preserve">feat(frontend): display times in Asia/Ho_Chi_Minh</t>
  </si>
  <si>
    <t xml:space="preserve">C027</t>
  </si>
  <si>
    <t xml:space="preserve">test(frontend): cover slot list rendering</t>
  </si>
  <si>
    <t xml:space="preserve">C028</t>
  </si>
  <si>
    <t xml:space="preserve">feat(frontend): add loading, empty and error states</t>
  </si>
  <si>
    <t xml:space="preserve">C029</t>
  </si>
  <si>
    <t xml:space="preserve">chore(frontend): proxy /api to backend in Vite dev server</t>
  </si>
  <si>
    <t xml:space="preserve">C030</t>
  </si>
  <si>
    <t xml:space="preserve">docs(frontend): add run instructions</t>
  </si>
  <si>
    <t xml:space="preserve">frontend/README.md</t>
  </si>
  <si>
    <t xml:space="preserve">C031</t>
  </si>
  <si>
    <t xml:space="preserve">TASK-005</t>
  </si>
  <si>
    <t xml:space="preserve">feat/task-005-manifest-frontend</t>
  </si>
  <si>
    <t xml:space="preserve">feat(release): add frontend image to manifest schema</t>
  </si>
  <si>
    <t xml:space="preserve">C032</t>
  </si>
  <si>
    <t xml:space="preserve">test(release): validate frontend digest in manifest</t>
  </si>
  <si>
    <t xml:space="preserve">C033</t>
  </si>
  <si>
    <t xml:space="preserve">refactor(scripts): extract compose command builder</t>
  </si>
  <si>
    <t xml:space="preserve">Dùng chung cho deploy và rollback</t>
  </si>
  <si>
    <t xml:space="preserve">C034</t>
  </si>
  <si>
    <t xml:space="preserve">feat(scripts): make state dir configurable via BOOKING_STATE_DIR</t>
  </si>
  <si>
    <t xml:space="preserve">Cho máy demo dùng /opt/booking/state</t>
  </si>
  <si>
    <t xml:space="preserve">C035</t>
  </si>
  <si>
    <t xml:space="preserve">test(scripts): cover configurable state dir</t>
  </si>
  <si>
    <t xml:space="preserve">C036</t>
  </si>
  <si>
    <t xml:space="preserve">feat(scripts): record deploy start and end in history file</t>
  </si>
  <si>
    <t xml:space="preserve">Đo thời gian deploy/rollback</t>
  </si>
  <si>
    <t xml:space="preserve">C037</t>
  </si>
  <si>
    <t xml:space="preserve">test(scripts): cover deploy history file</t>
  </si>
  <si>
    <t xml:space="preserve">C038</t>
  </si>
  <si>
    <t xml:space="preserve">docs(releases): update release process</t>
  </si>
  <si>
    <t xml:space="preserve">C039</t>
  </si>
  <si>
    <t xml:space="preserve">chore(loadtest): scaffold k6 directory</t>
  </si>
  <si>
    <t xml:space="preserve">loadtest/ + README</t>
  </si>
  <si>
    <t xml:space="preserve">C040</t>
  </si>
  <si>
    <t xml:space="preserve">feat(loadtest): add k6 scenario for listing slots</t>
  </si>
  <si>
    <t xml:space="preserve">C041</t>
  </si>
  <si>
    <t xml:space="preserve">TASK-006</t>
  </si>
  <si>
    <t xml:space="preserve">feat/task-006-otel-traces</t>
  </si>
  <si>
    <t xml:space="preserve">chore(backend): add OpenTelemetry SDK and instrumentation deps</t>
  </si>
  <si>
    <t xml:space="preserve">C042</t>
  </si>
  <si>
    <t xml:space="preserve">feat(telemetry): add setup_telemetry module skeleton</t>
  </si>
  <si>
    <t xml:space="preserve">backend/app/telemetry/</t>
  </si>
  <si>
    <t xml:space="preserve">C043</t>
  </si>
  <si>
    <t xml:space="preserve">feat(telemetry): set service name, version and environment resource</t>
  </si>
  <si>
    <t xml:space="preserve">C044</t>
  </si>
  <si>
    <t xml:space="preserve">feat(telemetry): add OTLP trace exporter with batch processor</t>
  </si>
  <si>
    <t xml:space="preserve">Timeout và queue giới hạn</t>
  </si>
  <si>
    <t xml:space="preserve">C045</t>
  </si>
  <si>
    <t xml:space="preserve">feat(telemetry): instrument FastAPI excluding health endpoints</t>
  </si>
  <si>
    <t xml:space="preserve">C046</t>
  </si>
  <si>
    <t xml:space="preserve">feat(telemetry): instrument SQLAlchemy</t>
  </si>
  <si>
    <t xml:space="preserve">Span cho truy vấn DB</t>
  </si>
  <si>
    <t xml:space="preserve">C047</t>
  </si>
  <si>
    <t xml:space="preserve">test(telemetry): assert spans with in-memory exporter</t>
  </si>
  <si>
    <t xml:space="preserve">C048</t>
  </si>
  <si>
    <t xml:space="preserve">feat(telemetry): allow disabling telemetry via env</t>
  </si>
  <si>
    <t xml:space="preserve">Cho test và local</t>
  </si>
  <si>
    <t xml:space="preserve">C049</t>
  </si>
  <si>
    <t xml:space="preserve">docs(telemetry): add label cardinality rules</t>
  </si>
  <si>
    <t xml:space="preserve">Không dùng UUID/trace ID làm label</t>
  </si>
  <si>
    <t xml:space="preserve">C050</t>
  </si>
  <si>
    <t xml:space="preserve">chore(dev): add otel-lgtm compose for quick local testing</t>
  </si>
  <si>
    <t xml:space="preserve">Thử telemetry trước khi có stack thật</t>
  </si>
  <si>
    <t xml:space="preserve">C051</t>
  </si>
  <si>
    <t xml:space="preserve">feat/task-004-cd-demo-host</t>
  </si>
  <si>
    <t xml:space="preserve">docs(devops): add runbook for demo VM and self-hosted runner</t>
  </si>
  <si>
    <t xml:space="preserve">Các bước tạo VM Multipass, cài Docker, cài runner label demo</t>
  </si>
  <si>
    <t xml:space="preserve">C052</t>
  </si>
  <si>
    <t xml:space="preserve">scripts: add bootstrap-host.sh for demo host setup</t>
  </si>
  <si>
    <t xml:space="preserve">Cài Docker, tạo /opt/booking/state, phân quyền</t>
  </si>
  <si>
    <t xml:space="preserve">C053</t>
  </si>
  <si>
    <t xml:space="preserve">ci: add deploy workflow on self-hosted demo runner</t>
  </si>
  <si>
    <t xml:space="preserve">deploy.yml chạy bằng workflow_dispatch, input là tag</t>
  </si>
  <si>
    <t xml:space="preserve">Runner đã online</t>
  </si>
  <si>
    <t xml:space="preserve">C054</t>
  </si>
  <si>
    <t xml:space="preserve">ci: trigger deploy after successful release via workflow_run</t>
  </si>
  <si>
    <t xml:space="preserve">Release xong thì tự gọi deploy (có duyệt)</t>
  </si>
  <si>
    <t xml:space="preserve">C055</t>
  </si>
  <si>
    <t xml:space="preserve">ci: upload deploy log and manifests as artifacts</t>
  </si>
  <si>
    <t xml:space="preserve">Lưu log deploy, current/previous manifest</t>
  </si>
  <si>
    <t xml:space="preserve">C056</t>
  </si>
  <si>
    <t xml:space="preserve">ci: run rollback workflow on self-hosted runner</t>
  </si>
  <si>
    <t xml:space="preserve">Sửa rollback.yml chạy trên máy demo, dùng state dir cố định</t>
  </si>
  <si>
    <t xml:space="preserve">Việt Anh: state dir configurable (T1)</t>
  </si>
  <si>
    <t xml:space="preserve">C057</t>
  </si>
  <si>
    <t xml:space="preserve">ci: add deploy-demo concurrency to deploy and rollback</t>
  </si>
  <si>
    <t xml:space="preserve">Deploy và rollback không bao giờ chạy song song</t>
  </si>
  <si>
    <t xml:space="preserve">C058</t>
  </si>
  <si>
    <t xml:space="preserve">ci: require approval via GitHub environment demo</t>
  </si>
  <si>
    <t xml:space="preserve">Environment demo có reviewer</t>
  </si>
  <si>
    <t xml:space="preserve">C059</t>
  </si>
  <si>
    <t xml:space="preserve">deploy: add web service and expose single port in production compose</t>
  </si>
  <si>
    <t xml:space="preserve">Chỉ mở port của Nginx, backend vào mạng nội bộ</t>
  </si>
  <si>
    <t xml:space="preserve">Cường: Dockerfile frontend (T2)</t>
  </si>
  <si>
    <t xml:space="preserve">C060</t>
  </si>
  <si>
    <t xml:space="preserve">docs(evidence): record first pipeline deploy to demo host (E08)</t>
  </si>
  <si>
    <t xml:space="preserve">So khớp /api/version với manifest trên máy demo</t>
  </si>
  <si>
    <t xml:space="preserve">C061</t>
  </si>
  <si>
    <t xml:space="preserve">feat/task-006-structured-logging</t>
  </si>
  <si>
    <t xml:space="preserve">feat(logging): add JSON log formatter to stdout</t>
  </si>
  <si>
    <t xml:space="preserve">Log JSON thay cho text</t>
  </si>
  <si>
    <t xml:space="preserve">C062</t>
  </si>
  <si>
    <t xml:space="preserve">feat(logging): add request logging middleware</t>
  </si>
  <si>
    <t xml:space="preserve">method, route template, status, duration</t>
  </si>
  <si>
    <t xml:space="preserve">C063</t>
  </si>
  <si>
    <t xml:space="preserve">test(logging): ensure logs exclude request body and names</t>
  </si>
  <si>
    <t xml:space="preserve">Không lộ dữ liệu khách</t>
  </si>
  <si>
    <t xml:space="preserve">C064</t>
  </si>
  <si>
    <t xml:space="preserve">feat(version): include environment and fault flag in /api/version</t>
  </si>
  <si>
    <t xml:space="preserve">Thấy ngay đang chạy release drill</t>
  </si>
  <si>
    <t xml:space="preserve">C065</t>
  </si>
  <si>
    <t xml:space="preserve">refactor(api): use route templates consistently</t>
  </si>
  <si>
    <t xml:space="preserve">Chuẩn bị label metric ít cardinality</t>
  </si>
  <si>
    <t xml:space="preserve">C066</t>
  </si>
  <si>
    <t xml:space="preserve">feat(health): add DB check latency to readiness response</t>
  </si>
  <si>
    <t xml:space="preserve">Readiness trả thời gian kiểm tra DB</t>
  </si>
  <si>
    <t xml:space="preserve">C067</t>
  </si>
  <si>
    <t xml:space="preserve">test(health): cover readiness timeout path</t>
  </si>
  <si>
    <t xml:space="preserve">DB chậm → 503 trong thời gian hữu hạn</t>
  </si>
  <si>
    <t xml:space="preserve">C068</t>
  </si>
  <si>
    <t xml:space="preserve">test(api): cover pagination edge cases</t>
  </si>
  <si>
    <t xml:space="preserve">limit/offset biên</t>
  </si>
  <si>
    <t xml:space="preserve">C069</t>
  </si>
  <si>
    <t xml:space="preserve">refactor(service): split booking service steps for span boundaries</t>
  </si>
  <si>
    <t xml:space="preserve">Tách bước để gắn span rõ ràng</t>
  </si>
  <si>
    <t xml:space="preserve">C070</t>
  </si>
  <si>
    <t xml:space="preserve">docs(architecture): update module view for telemetry and fault modules</t>
  </si>
  <si>
    <t xml:space="preserve">Cập nhật module-view.md</t>
  </si>
  <si>
    <t xml:space="preserve">C071</t>
  </si>
  <si>
    <t xml:space="preserve">feat/task-003-booking-flow</t>
  </si>
  <si>
    <t xml:space="preserve">feat(frontend): add booking form for selected slot</t>
  </si>
  <si>
    <t xml:space="preserve">POST /api/appointments</t>
  </si>
  <si>
    <t xml:space="preserve">C072</t>
  </si>
  <si>
    <t xml:space="preserve">feat(frontend): show conflict message on 409</t>
  </si>
  <si>
    <t xml:space="preserve">Không báo thành công khi 409</t>
  </si>
  <si>
    <t xml:space="preserve">C073</t>
  </si>
  <si>
    <t xml:space="preserve">test(frontend): cover booking success and conflict</t>
  </si>
  <si>
    <t xml:space="preserve">C074</t>
  </si>
  <si>
    <t xml:space="preserve">feat(frontend): add appointments list with pagination</t>
  </si>
  <si>
    <t xml:space="preserve">C075</t>
  </si>
  <si>
    <t xml:space="preserve">feat(frontend): cancel booking with confirmation</t>
  </si>
  <si>
    <t xml:space="preserve">DELETE /api/appointments/{id}</t>
  </si>
  <si>
    <t xml:space="preserve">C076</t>
  </si>
  <si>
    <t xml:space="preserve">test(frontend): cover cancel flow</t>
  </si>
  <si>
    <t xml:space="preserve">C077</t>
  </si>
  <si>
    <t xml:space="preserve">feat(frontend): show release and commit from /api/version</t>
  </si>
  <si>
    <t xml:space="preserve">Footer hiển thị version</t>
  </si>
  <si>
    <t xml:space="preserve">C078</t>
  </si>
  <si>
    <t xml:space="preserve">style(frontend): add responsive base layout</t>
  </si>
  <si>
    <t xml:space="preserve">C079</t>
  </si>
  <si>
    <t xml:space="preserve">build(frontend): add multi-stage Dockerfile</t>
  </si>
  <si>
    <t xml:space="preserve">Node build → Nginx serve</t>
  </si>
  <si>
    <t xml:space="preserve">C080</t>
  </si>
  <si>
    <t xml:space="preserve">build(frontend): add nginx config proxying /api</t>
  </si>
  <si>
    <t xml:space="preserve">C081</t>
  </si>
  <si>
    <t xml:space="preserve">TASK-007</t>
  </si>
  <si>
    <t xml:space="preserve">feat/task-007-k6-loadtest</t>
  </si>
  <si>
    <t xml:space="preserve">feat(loadtest): add create and cancel booking scenario</t>
  </si>
  <si>
    <t xml:space="preserve">C082</t>
  </si>
  <si>
    <t xml:space="preserve">feat(loadtest): add 10 rps constant arrival profile for 10 minutes</t>
  </si>
  <si>
    <t xml:space="preserve">Theo E15</t>
  </si>
  <si>
    <t xml:space="preserve">C083</t>
  </si>
  <si>
    <t xml:space="preserve">feat(loadtest): add thresholds for p95 and error rate</t>
  </si>
  <si>
    <t xml:space="preserve">p95 &lt; 500 ms</t>
  </si>
  <si>
    <t xml:space="preserve">C084</t>
  </si>
  <si>
    <t xml:space="preserve">feat(loadtest): export summary JSON</t>
  </si>
  <si>
    <t xml:space="preserve">Làm bằng chứng</t>
  </si>
  <si>
    <t xml:space="preserve">C085</t>
  </si>
  <si>
    <t xml:space="preserve">ci: add manual workflow running k6 on demo host</t>
  </si>
  <si>
    <t xml:space="preserve">Hoàng Anh: runner (T2)</t>
  </si>
  <si>
    <t xml:space="preserve">C086</t>
  </si>
  <si>
    <t xml:space="preserve">feat(scripts): smoke test checks /api/version against manifest</t>
  </si>
  <si>
    <t xml:space="preserve">C087</t>
  </si>
  <si>
    <t xml:space="preserve">test(scripts): cover version check in smoke test</t>
  </si>
  <si>
    <t xml:space="preserve">C088</t>
  </si>
  <si>
    <t xml:space="preserve">feat(scripts): rollback restores env and fault config from manifest</t>
  </si>
  <si>
    <t xml:space="preserve">Rollback tắt được fault</t>
  </si>
  <si>
    <t xml:space="preserve">C089</t>
  </si>
  <si>
    <t xml:space="preserve">test(scripts): cover config restore on rollback</t>
  </si>
  <si>
    <t xml:space="preserve">C090</t>
  </si>
  <si>
    <t xml:space="preserve">docs(releases): add rollback runbook</t>
  </si>
  <si>
    <t xml:space="preserve">C091</t>
  </si>
  <si>
    <t xml:space="preserve">feat/task-006-otel-metrics-logs</t>
  </si>
  <si>
    <t xml:space="preserve">feat(telemetry): add OTLP metrics exporter</t>
  </si>
  <si>
    <t xml:space="preserve">C092</t>
  </si>
  <si>
    <t xml:space="preserve">feat(metrics): configure HTTP duration histogram buckets</t>
  </si>
  <si>
    <t xml:space="preserve">C093</t>
  </si>
  <si>
    <t xml:space="preserve">test(metrics): labels use route templates only</t>
  </si>
  <si>
    <t xml:space="preserve">C094</t>
  </si>
  <si>
    <t xml:space="preserve">feat(telemetry): add OTLP logs bridge</t>
  </si>
  <si>
    <t xml:space="preserve">C095</t>
  </si>
  <si>
    <t xml:space="preserve">test(telemetry): booking succeeds when collector unavailable</t>
  </si>
  <si>
    <t xml:space="preserve">E10</t>
  </si>
  <si>
    <t xml:space="preserve">C096</t>
  </si>
  <si>
    <t xml:space="preserve">feat(telemetry): make export timeout and queue size configurable</t>
  </si>
  <si>
    <t xml:space="preserve">C097</t>
  </si>
  <si>
    <t xml:space="preserve">test(telemetry): latency unaffected when collector is down</t>
  </si>
  <si>
    <t xml:space="preserve">C098</t>
  </si>
  <si>
    <t xml:space="preserve">feat(metrics): enable exemplars with trace id</t>
  </si>
  <si>
    <t xml:space="preserve">Từ biểu đồ nhảy sang trace</t>
  </si>
  <si>
    <t xml:space="preserve">C099</t>
  </si>
  <si>
    <t xml:space="preserve">docs(telemetry): document telemetry env vars</t>
  </si>
  <si>
    <t xml:space="preserve">C100</t>
  </si>
  <si>
    <t xml:space="preserve">docs(evidence): record E10 result</t>
  </si>
  <si>
    <t xml:space="preserve">C101</t>
  </si>
  <si>
    <t xml:space="preserve">feat/task-006-obs-stack</t>
  </si>
  <si>
    <t xml:space="preserve">deploy: add compose.observability.yaml with otel-collector</t>
  </si>
  <si>
    <t xml:space="preserve">Khung compose cho stack quan sát</t>
  </si>
  <si>
    <t xml:space="preserve">C102</t>
  </si>
  <si>
    <t xml:space="preserve">obs(collector): configure OTLP receivers and batch processor</t>
  </si>
  <si>
    <t xml:space="preserve">Nhận gRPC/HTTP, batch, memory_limiter</t>
  </si>
  <si>
    <t xml:space="preserve">C103</t>
  </si>
  <si>
    <t xml:space="preserve">obs(prometheus): add Prometheus scraping collector exporter</t>
  </si>
  <si>
    <t xml:space="preserve">Collector expose metrics, Prometheus scrape</t>
  </si>
  <si>
    <t xml:space="preserve">C104</t>
  </si>
  <si>
    <t xml:space="preserve">obs(tempo): add Tempo with local storage and retention</t>
  </si>
  <si>
    <t xml:space="preserve">Collector → Tempo qua OTLP</t>
  </si>
  <si>
    <t xml:space="preserve">C105</t>
  </si>
  <si>
    <t xml:space="preserve">obs(loki): add Loki and collector logs pipeline</t>
  </si>
  <si>
    <t xml:space="preserve">Collector → Loki qua OTLP</t>
  </si>
  <si>
    <t xml:space="preserve">C106</t>
  </si>
  <si>
    <t xml:space="preserve">obs(grafana): provision Prometheus, Tempo and Loki datasources</t>
  </si>
  <si>
    <t xml:space="preserve">Datasource dạng code trong repo</t>
  </si>
  <si>
    <t xml:space="preserve">C107</t>
  </si>
  <si>
    <t xml:space="preserve">obs(grafana): enable trace-to-logs and derived fields</t>
  </si>
  <si>
    <t xml:space="preserve">Click trace sang log và ngược lại theo trace_id</t>
  </si>
  <si>
    <t xml:space="preserve">Công: trace_id trong log</t>
  </si>
  <si>
    <t xml:space="preserve">C108</t>
  </si>
  <si>
    <t xml:space="preserve">obs: add node-exporter and cAdvisor scrape jobs</t>
  </si>
  <si>
    <t xml:space="preserve">Metric CPU/RAM/disk của máy và container</t>
  </si>
  <si>
    <t xml:space="preserve">C109</t>
  </si>
  <si>
    <t xml:space="preserve">obs: add blackbox exporter probing /health/ready</t>
  </si>
  <si>
    <t xml:space="preserve">Probe qua web, độc lập với tiến trình API (E16)</t>
  </si>
  <si>
    <t xml:space="preserve">C110</t>
  </si>
  <si>
    <t xml:space="preserve">ci: validate collector and prometheus configs</t>
  </si>
  <si>
    <t xml:space="preserve">otelcol validate + promtool check config trong CI</t>
  </si>
  <si>
    <t xml:space="preserve">C111</t>
  </si>
  <si>
    <t xml:space="preserve">feat/task-006-business-telemetry</t>
  </si>
  <si>
    <t xml:space="preserve">feat(telemetry): add spans for booking.create and booking.cancel</t>
  </si>
  <si>
    <t xml:space="preserve">Pair với Công</t>
  </si>
  <si>
    <t xml:space="preserve">Công: telemetry module (T1)</t>
  </si>
  <si>
    <t xml:space="preserve">C112</t>
  </si>
  <si>
    <t xml:space="preserve">feat(metrics): add booking_conflicts_total counter</t>
  </si>
  <si>
    <t xml:space="preserve">Tăng khi trả 409</t>
  </si>
  <si>
    <t xml:space="preserve">C113</t>
  </si>
  <si>
    <t xml:space="preserve">test(metrics): conflict counter increments on 409</t>
  </si>
  <si>
    <t xml:space="preserve">In-memory metric reader</t>
  </si>
  <si>
    <t xml:space="preserve">C114</t>
  </si>
  <si>
    <t xml:space="preserve">feat(logging): inject trace_id and span_id into JSON logs</t>
  </si>
  <si>
    <t xml:space="preserve">Nối log với trace</t>
  </si>
  <si>
    <t xml:space="preserve">C115</t>
  </si>
  <si>
    <t xml:space="preserve">test(logging): trace_id present in log records</t>
  </si>
  <si>
    <t xml:space="preserve">C116</t>
  </si>
  <si>
    <t xml:space="preserve">feat(api): return traceparent header in responses</t>
  </si>
  <si>
    <t xml:space="preserve">UI hiển thị được trace id khi lỗi</t>
  </si>
  <si>
    <t xml:space="preserve">C117</t>
  </si>
  <si>
    <t xml:space="preserve">fix(api): map unexpected DB errors to 503 with telemetry</t>
  </si>
  <si>
    <t xml:space="preserve">Lỗi DB ghi span status error</t>
  </si>
  <si>
    <t xml:space="preserve">C118</t>
  </si>
  <si>
    <t xml:space="preserve">test(api): cover DB error mapping</t>
  </si>
  <si>
    <t xml:space="preserve">C119</t>
  </si>
  <si>
    <t xml:space="preserve">chore: add migration checklist to PR template</t>
  </si>
  <si>
    <t xml:space="preserve">Theo migration-policy.md</t>
  </si>
  <si>
    <t xml:space="preserve">C120</t>
  </si>
  <si>
    <t xml:space="preserve">docs(architecture): update API contract in architecture context</t>
  </si>
  <si>
    <t xml:space="preserve">Thêm header và version mới</t>
  </si>
  <si>
    <t xml:space="preserve">C121</t>
  </si>
  <si>
    <t xml:space="preserve">test/task-003-e2e</t>
  </si>
  <si>
    <t xml:space="preserve">build(deploy): add web service to local compose</t>
  </si>
  <si>
    <t xml:space="preserve">Phối hợp Hoàng Anh</t>
  </si>
  <si>
    <t xml:space="preserve">C122</t>
  </si>
  <si>
    <t xml:space="preserve">test(e2e): set up Playwright</t>
  </si>
  <si>
    <t xml:space="preserve">C123</t>
  </si>
  <si>
    <t xml:space="preserve">test(e2e): view available slots</t>
  </si>
  <si>
    <t xml:space="preserve">C124</t>
  </si>
  <si>
    <t xml:space="preserve">test(e2e): book a slot and see it in the list</t>
  </si>
  <si>
    <t xml:space="preserve">C125</t>
  </si>
  <si>
    <t xml:space="preserve">test(e2e): cancel a booking</t>
  </si>
  <si>
    <t xml:space="preserve">C126</t>
  </si>
  <si>
    <t xml:space="preserve">test(e2e): show conflict when slot already taken</t>
  </si>
  <si>
    <t xml:space="preserve">C127</t>
  </si>
  <si>
    <t xml:space="preserve">ci: add frontend lint, test and build job</t>
  </si>
  <si>
    <t xml:space="preserve">C128</t>
  </si>
  <si>
    <t xml:space="preserve">feat(frontend): refresh slots after booking or cancel</t>
  </si>
  <si>
    <t xml:space="preserve">C129</t>
  </si>
  <si>
    <t xml:space="preserve">fix(frontend): add accessible labels to form controls</t>
  </si>
  <si>
    <t xml:space="preserve">C130</t>
  </si>
  <si>
    <t xml:space="preserve">docs(evidence): record E06 results</t>
  </si>
  <si>
    <t xml:space="preserve">C131</t>
  </si>
  <si>
    <t xml:space="preserve">feat/task-007-drill-tooling</t>
  </si>
  <si>
    <t xml:space="preserve">feat(release): add v0.2.0-drill manifest template with fault config</t>
  </si>
  <si>
    <t xml:space="preserve">Cương: fault injection (T1)</t>
  </si>
  <si>
    <t xml:space="preserve">C132</t>
  </si>
  <si>
    <t xml:space="preserve">docs(incidents): add incident report template</t>
  </si>
  <si>
    <t xml:space="preserve">C133</t>
  </si>
  <si>
    <t xml:space="preserve">feat(scripts): add drill timeline recorder</t>
  </si>
  <si>
    <t xml:space="preserve">Ghi timestamp từng mốc</t>
  </si>
  <si>
    <t xml:space="preserve">C134</t>
  </si>
  <si>
    <t xml:space="preserve">test(scripts): cover timeline recorder</t>
  </si>
  <si>
    <t xml:space="preserve">C135</t>
  </si>
  <si>
    <t xml:space="preserve">feat(scripts): add booking integrity check before and after</t>
  </si>
  <si>
    <t xml:space="preserve">So số booking trước/sau rollback</t>
  </si>
  <si>
    <t xml:space="preserve">C136</t>
  </si>
  <si>
    <t xml:space="preserve">test(scripts): cover integrity check</t>
  </si>
  <si>
    <t xml:space="preserve">C137</t>
  </si>
  <si>
    <t xml:space="preserve">docs(evidence): add baseline load test report draft</t>
  </si>
  <si>
    <t xml:space="preserve">Chạy k6 trên máy demo</t>
  </si>
  <si>
    <t xml:space="preserve">C138</t>
  </si>
  <si>
    <t xml:space="preserve">feat(loadtest): add mixed scenario with conflicts</t>
  </si>
  <si>
    <t xml:space="preserve">Tạo 409 có chủ đích</t>
  </si>
  <si>
    <t xml:space="preserve">C139</t>
  </si>
  <si>
    <t xml:space="preserve">docs(incidents): add step-by-step drill runbook</t>
  </si>
  <si>
    <t xml:space="preserve">C140</t>
  </si>
  <si>
    <t xml:space="preserve">chore: add Makefile targets for load, drill and rollback</t>
  </si>
  <si>
    <t xml:space="preserve">C141</t>
  </si>
  <si>
    <t xml:space="preserve">feat/task-006-dashboards</t>
  </si>
  <si>
    <t xml:space="preserve">obs(grafana): add RED overview dashboard</t>
  </si>
  <si>
    <t xml:space="preserve">Rate, errors, duration</t>
  </si>
  <si>
    <t xml:space="preserve">Hoàng Anh: stack (T3)</t>
  </si>
  <si>
    <t xml:space="preserve">C142</t>
  </si>
  <si>
    <t xml:space="preserve">obs(grafana): add latency percentiles by route</t>
  </si>
  <si>
    <t xml:space="preserve">p50/p95/p99</t>
  </si>
  <si>
    <t xml:space="preserve">C143</t>
  </si>
  <si>
    <t xml:space="preserve">obs(grafana): add booking conflicts panel</t>
  </si>
  <si>
    <t xml:space="preserve">Cương: conflict counter (T3)</t>
  </si>
  <si>
    <t xml:space="preserve">C144</t>
  </si>
  <si>
    <t xml:space="preserve">obs(grafana): add probe and container resource panels</t>
  </si>
  <si>
    <t xml:space="preserve">C145</t>
  </si>
  <si>
    <t xml:space="preserve">obs(grafana): add deploy annotations and version panel</t>
  </si>
  <si>
    <t xml:space="preserve">C146</t>
  </si>
  <si>
    <t xml:space="preserve">obs(grafana): link error panel to traces and logs</t>
  </si>
  <si>
    <t xml:space="preserve">C147</t>
  </si>
  <si>
    <t xml:space="preserve">obs(prometheus): add recording rules for rate and error ratio</t>
  </si>
  <si>
    <t xml:space="preserve">C148</t>
  </si>
  <si>
    <t xml:space="preserve">test(prometheus): add promtool unit tests for recording rules</t>
  </si>
  <si>
    <t xml:space="preserve">C149</t>
  </si>
  <si>
    <t xml:space="preserve">obs(grafana): add environment and version variables</t>
  </si>
  <si>
    <t xml:space="preserve">C150</t>
  </si>
  <si>
    <t xml:space="preserve">docs(telemetry): add dashboard guide</t>
  </si>
  <si>
    <t xml:space="preserve">C151</t>
  </si>
  <si>
    <t xml:space="preserve">feat/task-006-alerting-infra</t>
  </si>
  <si>
    <t xml:space="preserve">obs(alertmanager): add Alertmanager with Discord webhook receiver</t>
  </si>
  <si>
    <t xml:space="preserve">Webhook đọc từ secret/env, không commit</t>
  </si>
  <si>
    <t xml:space="preserve">Kênh Discord của nhóm</t>
  </si>
  <si>
    <t xml:space="preserve">C152</t>
  </si>
  <si>
    <t xml:space="preserve">ci: add amtool check-config step</t>
  </si>
  <si>
    <t xml:space="preserve">Kiểm tra cấu hình Alertmanager trong CI</t>
  </si>
  <si>
    <t xml:space="preserve">C153</t>
  </si>
  <si>
    <t xml:space="preserve">ci: deploy observability stack in deploy workflow</t>
  </si>
  <si>
    <t xml:space="preserve">deploy.yml dựng cả stack quan sát</t>
  </si>
  <si>
    <t xml:space="preserve">C154</t>
  </si>
  <si>
    <t xml:space="preserve">obs: set retention and volume limits for Prometheus, Loki and Tempo</t>
  </si>
  <si>
    <t xml:space="preserve">Tránh đầy đĩa máy demo</t>
  </si>
  <si>
    <t xml:space="preserve">C155</t>
  </si>
  <si>
    <t xml:space="preserve">deploy: bind admin ports to localhost and Tailscale only</t>
  </si>
  <si>
    <t xml:space="preserve">Grafana/Prometheus không mở ra ngoài</t>
  </si>
  <si>
    <t xml:space="preserve">C156</t>
  </si>
  <si>
    <t xml:space="preserve">ci: add E2E job running Playwright against compose stack</t>
  </si>
  <si>
    <t xml:space="preserve">Phối hợp với Cường</t>
  </si>
  <si>
    <t xml:space="preserve">Cường: E2E suite (T3)</t>
  </si>
  <si>
    <t xml:space="preserve">C157</t>
  </si>
  <si>
    <t xml:space="preserve">ci: publish frontend image and digest in release workflow</t>
  </si>
  <si>
    <t xml:space="preserve">Release build cả frontend</t>
  </si>
  <si>
    <t xml:space="preserve">Việt Anh: manifest có frontend (T1)</t>
  </si>
  <si>
    <t xml:space="preserve">C158</t>
  </si>
  <si>
    <t xml:space="preserve">scripts: push Grafana annotation on deploy and rollback</t>
  </si>
  <si>
    <t xml:space="preserve">Đánh dấu thời điểm deploy trên dashboard</t>
  </si>
  <si>
    <t xml:space="preserve">C159</t>
  </si>
  <si>
    <t xml:space="preserve">docs(devops): add deploy and rollback runbook for demo host</t>
  </si>
  <si>
    <t xml:space="preserve">Runbook từng bước, kèm lệnh kiểm tra</t>
  </si>
  <si>
    <t xml:space="preserve">C160</t>
  </si>
  <si>
    <t xml:space="preserve">docs(evidence): record full stack resource usage</t>
  </si>
  <si>
    <t xml:space="preserve">Đo CPU/RAM/disk trước diễn tập</t>
  </si>
  <si>
    <t xml:space="preserve">C161</t>
  </si>
  <si>
    <t xml:space="preserve">feat/task-007-drill-support</t>
  </si>
  <si>
    <t xml:space="preserve">feat(fault): load fault config from release manifest env</t>
  </si>
  <si>
    <t xml:space="preserve">Cho release v0.2.0-drill</t>
  </si>
  <si>
    <t xml:space="preserve">Việt Anh: manifest drill (T3)</t>
  </si>
  <si>
    <t xml:space="preserve">C162</t>
  </si>
  <si>
    <t xml:space="preserve">test(release): validate fault config in manifest</t>
  </si>
  <si>
    <t xml:space="preserve">C163</t>
  </si>
  <si>
    <t xml:space="preserve">feat(fault): log warning and span attribute when fault active</t>
  </si>
  <si>
    <t xml:space="preserve">Dễ thấy nguyên nhân khi điều tra</t>
  </si>
  <si>
    <t xml:space="preserve">C164</t>
  </si>
  <si>
    <t xml:space="preserve">perf(db): review indexes for slots query</t>
  </si>
  <si>
    <t xml:space="preserve">Kiểm tra EXPLAIN cho truy vấn slot</t>
  </si>
  <si>
    <t xml:space="preserve">C165</t>
  </si>
  <si>
    <t xml:space="preserve">feat(scripts): add seed_demo.py for demo data</t>
  </si>
  <si>
    <t xml:space="preserve">Tạo dữ liệu mẫu trước load test</t>
  </si>
  <si>
    <t xml:space="preserve">C166</t>
  </si>
  <si>
    <t xml:space="preserve">feat(scripts): add cleanup script for demo bookings</t>
  </si>
  <si>
    <t xml:space="preserve">Dọn dữ liệu sau load test</t>
  </si>
  <si>
    <t xml:space="preserve">C167</t>
  </si>
  <si>
    <t xml:space="preserve">test(integration): stabilise concurrent booking test</t>
  </si>
  <si>
    <t xml:space="preserve">Chạy lặp nhiều lần không flaky</t>
  </si>
  <si>
    <t xml:space="preserve">C168</t>
  </si>
  <si>
    <t xml:space="preserve">fix(api): address issues from E2E feedback</t>
  </si>
  <si>
    <t xml:space="preserve">Sửa lỗi Cường báo (nếu có)</t>
  </si>
  <si>
    <t xml:space="preserve">Cường: E2E</t>
  </si>
  <si>
    <t xml:space="preserve">C169</t>
  </si>
  <si>
    <t xml:space="preserve">docs(backend): add troubleshooting runbook</t>
  </si>
  <si>
    <t xml:space="preserve">Các lỗi thường gặp và cách xem log</t>
  </si>
  <si>
    <t xml:space="preserve">C170</t>
  </si>
  <si>
    <t xml:space="preserve">refactor(config): validate fault settings combinations</t>
  </si>
  <si>
    <t xml:space="preserve">Chặn cấu hình sai</t>
  </si>
  <si>
    <t xml:space="preserve">C171</t>
  </si>
  <si>
    <t xml:space="preserve">feat/task-003-ci-e2e-nginx</t>
  </si>
  <si>
    <t xml:space="preserve">test(e2e): make suite configurable by base URL</t>
  </si>
  <si>
    <t xml:space="preserve">Chạy được với compose và máy demo</t>
  </si>
  <si>
    <t xml:space="preserve">C172</t>
  </si>
  <si>
    <t xml:space="preserve">feat(frontend): show trace id in error banner</t>
  </si>
  <si>
    <t xml:space="preserve">Giúp điều tra từ UI</t>
  </si>
  <si>
    <t xml:space="preserve">Cương: traceparent header (T3)</t>
  </si>
  <si>
    <t xml:space="preserve">C173</t>
  </si>
  <si>
    <t xml:space="preserve">feat(frontend): show environment badge</t>
  </si>
  <si>
    <t xml:space="preserve">Phân biệt demo và drill</t>
  </si>
  <si>
    <t xml:space="preserve">C174</t>
  </si>
  <si>
    <t xml:space="preserve">test(e2e): footer version matches deployed manifest</t>
  </si>
  <si>
    <t xml:space="preserve">C175</t>
  </si>
  <si>
    <t xml:space="preserve">perf(nginx): enable gzip and cache headers for static assets</t>
  </si>
  <si>
    <t xml:space="preserve">C176</t>
  </si>
  <si>
    <t xml:space="preserve">feat(nginx): use JSON access log format</t>
  </si>
  <si>
    <t xml:space="preserve">Để Loki đọc được</t>
  </si>
  <si>
    <t xml:space="preserve">C177</t>
  </si>
  <si>
    <t xml:space="preserve">test(frontend): unit test API client</t>
  </si>
  <si>
    <t xml:space="preserve">C178</t>
  </si>
  <si>
    <t xml:space="preserve">chore(frontend): pin Node image and dependency versions</t>
  </si>
  <si>
    <t xml:space="preserve">C179</t>
  </si>
  <si>
    <t xml:space="preserve">feat(frontend): retry on network errors with limited backoff</t>
  </si>
  <si>
    <t xml:space="preserve">C180</t>
  </si>
  <si>
    <t xml:space="preserve">docs(report): add UI screenshots</t>
  </si>
  <si>
    <t xml:space="preserve">C181</t>
  </si>
  <si>
    <t xml:space="preserve">feat/task-007-rehearsal</t>
  </si>
  <si>
    <t xml:space="preserve">docs(evidence): add E15 latency report at 10 rps for 10 minutes</t>
  </si>
  <si>
    <t xml:space="preserve">C182</t>
  </si>
  <si>
    <t xml:space="preserve">docs(incidents): add rehearsal 1 notes</t>
  </si>
  <si>
    <t xml:space="preserve">Diễn tập lần 1 với cả nhóm</t>
  </si>
  <si>
    <t xml:space="preserve">Công: alert rules (T4)</t>
  </si>
  <si>
    <t xml:space="preserve">C183</t>
  </si>
  <si>
    <t xml:space="preserve">fix(scripts): address issues from rehearsal 1</t>
  </si>
  <si>
    <t xml:space="preserve">C184</t>
  </si>
  <si>
    <t xml:space="preserve">feat(scripts): measure rollback duration against 5 minute target</t>
  </si>
  <si>
    <t xml:space="preserve">C185</t>
  </si>
  <si>
    <t xml:space="preserve">test(scripts): cover rollback duration check</t>
  </si>
  <si>
    <t xml:space="preserve">C186</t>
  </si>
  <si>
    <t xml:space="preserve">docs(evidence): record E12 on demo host</t>
  </si>
  <si>
    <t xml:space="preserve">C187</t>
  </si>
  <si>
    <t xml:space="preserve">feat(ci): add repository_dispatch rollback trigger</t>
  </si>
  <si>
    <t xml:space="preserve">Tuỳ chọn: tự rollback từ alert</t>
  </si>
  <si>
    <t xml:space="preserve">C188</t>
  </si>
  <si>
    <t xml:space="preserve">ci: add workflow handling rollback dispatch</t>
  </si>
  <si>
    <t xml:space="preserve">C189</t>
  </si>
  <si>
    <t xml:space="preserve">docs(incidents): add drill roles and checklist</t>
  </si>
  <si>
    <t xml:space="preserve">C190</t>
  </si>
  <si>
    <t xml:space="preserve">docs(evidence): record E11 alert timing from rehearsal</t>
  </si>
  <si>
    <t xml:space="preserve">C191</t>
  </si>
  <si>
    <t xml:space="preserve">feat/task-006-alert-rules</t>
  </si>
  <si>
    <t xml:space="preserve">obs(alerts): add HighErrorRate rule</t>
  </si>
  <si>
    <t xml:space="preserve">5xx &gt; 5%, ≥ 100 request, 2 phút</t>
  </si>
  <si>
    <t xml:space="preserve">C192</t>
  </si>
  <si>
    <t xml:space="preserve">test(alerts): promtool test for HighErrorRate</t>
  </si>
  <si>
    <t xml:space="preserve">C193</t>
  </si>
  <si>
    <t xml:space="preserve">obs(alerts): add ApiProbeDown rule</t>
  </si>
  <si>
    <t xml:space="preserve">C194</t>
  </si>
  <si>
    <t xml:space="preserve">test(alerts): promtool test for ApiProbeDown</t>
  </si>
  <si>
    <t xml:space="preserve">C195</t>
  </si>
  <si>
    <t xml:space="preserve">obs(alerts): add HighLatencyP95 rule</t>
  </si>
  <si>
    <t xml:space="preserve">C196</t>
  </si>
  <si>
    <t xml:space="preserve">obs(alertmanager): add routing, grouping and message template</t>
  </si>
  <si>
    <t xml:space="preserve">Tin nhắn có version và link Grafana</t>
  </si>
  <si>
    <t xml:space="preserve">Hoàng Anh: Alertmanager (T4)</t>
  </si>
  <si>
    <t xml:space="preserve">C197</t>
  </si>
  <si>
    <t xml:space="preserve">docs(evidence): record E16 stop-API probe test</t>
  </si>
  <si>
    <t xml:space="preserve">C198</t>
  </si>
  <si>
    <t xml:space="preserve">docs(evidence): record E09 dashboard to trace to log walk</t>
  </si>
  <si>
    <t xml:space="preserve">Ảnh chụp + query</t>
  </si>
  <si>
    <t xml:space="preserve">C199</t>
  </si>
  <si>
    <t xml:space="preserve">docs(telemetry): add alert runbook entries</t>
  </si>
  <si>
    <t xml:space="preserve">Mỗi alert cần kiểm tra gì</t>
  </si>
  <si>
    <t xml:space="preserve">C200</t>
  </si>
  <si>
    <t xml:space="preserve">fix(alerts): tune thresholds after rehearsal 1</t>
  </si>
  <si>
    <t xml:space="preserve">Việt Anh: rehearsal 1</t>
  </si>
  <si>
    <t xml:space="preserve">C201</t>
  </si>
  <si>
    <t xml:space="preserve">chore/task-004-polish-evidence</t>
  </si>
  <si>
    <t xml:space="preserve">ci: enable buildx GitHub Actions cache for images</t>
  </si>
  <si>
    <t xml:space="preserve">Build image nhanh hơn</t>
  </si>
  <si>
    <t xml:space="preserve">C202</t>
  </si>
  <si>
    <t xml:space="preserve">ci: fail Trivy scan on CRITICAL vulnerabilities</t>
  </si>
  <si>
    <t xml:space="preserve">Chuyển từ báo cáo sang chặn</t>
  </si>
  <si>
    <t xml:space="preserve">C203</t>
  </si>
  <si>
    <t xml:space="preserve">deploy: pin observability image versions</t>
  </si>
  <si>
    <t xml:space="preserve">Không dùng tag latest</t>
  </si>
  <si>
    <t xml:space="preserve">C204</t>
  </si>
  <si>
    <t xml:space="preserve">ci: add workflow collecting evidence artifacts</t>
  </si>
  <si>
    <t xml:space="preserve">Gom manifest, log, kết quả test vào một artifact</t>
  </si>
  <si>
    <t xml:space="preserve">C205</t>
  </si>
  <si>
    <t xml:space="preserve">docs(evidence): link pipeline history for E07 and E08</t>
  </si>
  <si>
    <t xml:space="preserve">Link run thành công và thất bại</t>
  </si>
  <si>
    <t xml:space="preserve">C206</t>
  </si>
  <si>
    <t xml:space="preserve">docs(architecture): align runtime view with deployed stack</t>
  </si>
  <si>
    <t xml:space="preserve">Cập nhật runtime-view.md theo thực tế</t>
  </si>
  <si>
    <t xml:space="preserve">C207</t>
  </si>
  <si>
    <t xml:space="preserve">docs(devops): add Tailscale access guide for demo</t>
  </si>
  <si>
    <t xml:space="preserve">Cách cho giảng viên/nhóm truy cập</t>
  </si>
  <si>
    <t xml:space="preserve">C208</t>
  </si>
  <si>
    <t xml:space="preserve">chore: add .env.example for observability stack</t>
  </si>
  <si>
    <t xml:space="preserve">Liệt kê biến môi trường cần đặt</t>
  </si>
  <si>
    <t xml:space="preserve">C209</t>
  </si>
  <si>
    <t xml:space="preserve">fix(ci): address issues found in official drill</t>
  </si>
  <si>
    <t xml:space="preserve">Sửa lỗi phát hiện khi diễn tập (nếu có)</t>
  </si>
  <si>
    <t xml:space="preserve">Việt Anh: drill chính thức</t>
  </si>
  <si>
    <t xml:space="preserve">C210</t>
  </si>
  <si>
    <t xml:space="preserve">docs(devops): update DevOps README status</t>
  </si>
  <si>
    <t xml:space="preserve">Đánh dấu giai đoạn A–D đã xong</t>
  </si>
  <si>
    <t xml:space="preserve">C211</t>
  </si>
  <si>
    <t xml:space="preserve">docs/task-007-backend-evidence</t>
  </si>
  <si>
    <t xml:space="preserve">test(release): run previous release against new schema (E14)</t>
  </si>
  <si>
    <t xml:space="preserve">Kiểm tra tương thích rollback</t>
  </si>
  <si>
    <t xml:space="preserve">C212</t>
  </si>
  <si>
    <t xml:space="preserve">docs(evidence): update E01–E05 and E14</t>
  </si>
  <si>
    <t xml:space="preserve">Ghi kết quả trên máy demo</t>
  </si>
  <si>
    <t xml:space="preserve">C213</t>
  </si>
  <si>
    <t xml:space="preserve">fix(api): address issues from official drill</t>
  </si>
  <si>
    <t xml:space="preserve">Nếu có</t>
  </si>
  <si>
    <t xml:space="preserve">C214</t>
  </si>
  <si>
    <t xml:space="preserve">docs(incidents): write root cause section with trace evidence</t>
  </si>
  <si>
    <t xml:space="preserve">Phối hợp Việt Anh</t>
  </si>
  <si>
    <t xml:space="preserve">C215</t>
  </si>
  <si>
    <t xml:space="preserve">refactor(backend): remove dead code and tighten typing</t>
  </si>
  <si>
    <t xml:space="preserve">C216</t>
  </si>
  <si>
    <t xml:space="preserve">test(services): raise service coverage</t>
  </si>
  <si>
    <t xml:space="preserve">C217</t>
  </si>
  <si>
    <t xml:space="preserve">chore(backend): pin dependency upper bounds</t>
  </si>
  <si>
    <t xml:space="preserve">C218</t>
  </si>
  <si>
    <t xml:space="preserve">docs(adr): add ADR-002 draft for future k3s option</t>
  </si>
  <si>
    <t xml:space="preserve">Hướng mở rộng sau MVP</t>
  </si>
  <si>
    <t xml:space="preserve">C219</t>
  </si>
  <si>
    <t xml:space="preserve">docs: update root README status table</t>
  </si>
  <si>
    <t xml:space="preserve">C220</t>
  </si>
  <si>
    <t xml:space="preserve">docs(report): architecture section for final report</t>
  </si>
  <si>
    <t xml:space="preserve">Nội dung cho báo cáo/slide</t>
  </si>
  <si>
    <t xml:space="preserve">C221</t>
  </si>
  <si>
    <t xml:space="preserve">chore/task-003-polish</t>
  </si>
  <si>
    <t xml:space="preserve">test(e2e): add post-deploy smoke suite</t>
  </si>
  <si>
    <t xml:space="preserve">Chạy sau deploy trên máy demo</t>
  </si>
  <si>
    <t xml:space="preserve">C222</t>
  </si>
  <si>
    <t xml:space="preserve">ci: upload Playwright report as artifact</t>
  </si>
  <si>
    <t xml:space="preserve">C223</t>
  </si>
  <si>
    <t xml:space="preserve">fix(frontend): address issues from official drill</t>
  </si>
  <si>
    <t xml:space="preserve">C224</t>
  </si>
  <si>
    <t xml:space="preserve">style(frontend): polish booking page</t>
  </si>
  <si>
    <t xml:space="preserve">C225</t>
  </si>
  <si>
    <t xml:space="preserve">test(frontend): raise component coverage</t>
  </si>
  <si>
    <t xml:space="preserve">C226</t>
  </si>
  <si>
    <t xml:space="preserve">docs(evidence): finalise E06</t>
  </si>
  <si>
    <t xml:space="preserve">C227</t>
  </si>
  <si>
    <t xml:space="preserve">docs(frontend): add demo user guide</t>
  </si>
  <si>
    <t xml:space="preserve">C228</t>
  </si>
  <si>
    <t xml:space="preserve">refactor(frontend): clean up components</t>
  </si>
  <si>
    <t xml:space="preserve">C229</t>
  </si>
  <si>
    <t xml:space="preserve">chore(frontend): update dependencies</t>
  </si>
  <si>
    <t xml:space="preserve">C230</t>
  </si>
  <si>
    <t xml:space="preserve">docs(report): UI section for final report</t>
  </si>
  <si>
    <t xml:space="preserve">C231</t>
  </si>
  <si>
    <t xml:space="preserve">docs/task-007-incident-report</t>
  </si>
  <si>
    <t xml:space="preserve">docs(incidents): add official drill timeline</t>
  </si>
  <si>
    <t xml:space="preserve">Chạy drill chính thức</t>
  </si>
  <si>
    <t xml:space="preserve">Cả nhóm</t>
  </si>
  <si>
    <t xml:space="preserve">C232</t>
  </si>
  <si>
    <t xml:space="preserve">docs(incidents): add impact and detection sections</t>
  </si>
  <si>
    <t xml:space="preserve">C233</t>
  </si>
  <si>
    <t xml:space="preserve">docs(incidents): add resolution section</t>
  </si>
  <si>
    <t xml:space="preserve">C234</t>
  </si>
  <si>
    <t xml:space="preserve">docs(incidents): add follow-up actions</t>
  </si>
  <si>
    <t xml:space="preserve">C235</t>
  </si>
  <si>
    <t xml:space="preserve">docs(evidence): update E01–E16 status table</t>
  </si>
  <si>
    <t xml:space="preserve">C236</t>
  </si>
  <si>
    <t xml:space="preserve">docs(evidence): attach manifests and workflow run links</t>
  </si>
  <si>
    <t xml:space="preserve">C237</t>
  </si>
  <si>
    <t xml:space="preserve">docs: update README actual status table</t>
  </si>
  <si>
    <t xml:space="preserve">C238</t>
  </si>
  <si>
    <t xml:space="preserve">docs(tasks): mark TASK-005 and TASK-007 done</t>
  </si>
  <si>
    <t xml:space="preserve">C239</t>
  </si>
  <si>
    <t xml:space="preserve">docs(report): reliability section for final report</t>
  </si>
  <si>
    <t xml:space="preserve">C240</t>
  </si>
  <si>
    <t xml:space="preserve">docs(releases): add v1.0.0 release notes</t>
  </si>
  <si>
    <t xml:space="preserve">C241</t>
  </si>
  <si>
    <t xml:space="preserve">docs/task-006-evidence</t>
  </si>
  <si>
    <t xml:space="preserve">docs(evidence): record E11 firing and resolved timestamps</t>
  </si>
  <si>
    <t xml:space="preserve">Drill chính thức</t>
  </si>
  <si>
    <t xml:space="preserve">C242</t>
  </si>
  <si>
    <t xml:space="preserve">obs(grafana): add incident drill dashboard</t>
  </si>
  <si>
    <t xml:space="preserve">C243</t>
  </si>
  <si>
    <t xml:space="preserve">docs(telemetry): list queries used in drill</t>
  </si>
  <si>
    <t xml:space="preserve">C244</t>
  </si>
  <si>
    <t xml:space="preserve">fix(telemetry): address issues from official drill</t>
  </si>
  <si>
    <t xml:space="preserve">C245</t>
  </si>
  <si>
    <t xml:space="preserve">docs(evidence): add observability evidence index</t>
  </si>
  <si>
    <t xml:space="preserve">C246</t>
  </si>
  <si>
    <t xml:space="preserve">docs(architecture): update telemetry section of runtime view</t>
  </si>
  <si>
    <t xml:space="preserve">C247</t>
  </si>
  <si>
    <t xml:space="preserve">obs(grafana): add availability SLO panel</t>
  </si>
  <si>
    <t xml:space="preserve">C248</t>
  </si>
  <si>
    <t xml:space="preserve">docs(tasks): mark TASK-006 done</t>
  </si>
  <si>
    <t xml:space="preserve">C249</t>
  </si>
  <si>
    <t xml:space="preserve">docs(report): observability section for final report</t>
  </si>
  <si>
    <t xml:space="preserve">C250</t>
  </si>
  <si>
    <t xml:space="preserve">refactor(telemetry): clean up module</t>
  </si>
  <si>
    <t xml:space="preserve">Tổng hợp commit theo thành viên và tuần</t>
  </si>
  <si>
    <t xml:space="preserve">Mục tiêu mỗi tuần</t>
  </si>
  <si>
    <t xml:space="preserve">Số commit theo kế hoạch</t>
  </si>
  <si>
    <t xml:space="preserve">Tổng</t>
  </si>
  <si>
    <t xml:space="preserve">Số commit đã Done</t>
  </si>
  <si>
    <t xml:space="preserve">Tỷ lệ hoàn thành so với mục tiêu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</si>
</sst>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23.85" hidden="false" customHeight="false" outlineLevel="0" collapsed="false">
      <c r="A9" s="2" t="s">
        <v>13</v>
      </c>
      <c r="B9" s="3" t="s">
        <v>14</v>
      </c>
    </row>
    <row r="10" customFormat="false" ht="23.8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3" customFormat="false" ht="15" hidden="false" customHeight="false" outlineLevel="0" collapsed="false">
      <c r="A13" s="2" t="s">
        <v>21</v>
      </c>
      <c r="B13" s="3" t="s">
        <v>22</v>
      </c>
    </row>
    <row r="15" customFormat="false" ht="15" hidden="false" customHeight="false" outlineLevel="0" collapsed="false">
      <c r="A15" s="4" t="s">
        <v>23</v>
      </c>
    </row>
    <row r="16" customFormat="false" ht="15" hidden="false" customHeight="false" outlineLevel="0" collapsed="false">
      <c r="A16" s="5" t="s">
        <v>24</v>
      </c>
      <c r="B16" s="3" t="s">
        <v>25</v>
      </c>
    </row>
    <row r="17" customFormat="false" ht="15" hidden="false" customHeight="false" outlineLevel="0" collapsed="false">
      <c r="A17" s="5" t="s">
        <v>26</v>
      </c>
      <c r="B17" s="3" t="s">
        <v>27</v>
      </c>
    </row>
    <row r="18" customFormat="false" ht="15" hidden="false" customHeight="false" outlineLevel="0" collapsed="false">
      <c r="A18" s="5" t="s">
        <v>28</v>
      </c>
      <c r="B18" s="3" t="s">
        <v>29</v>
      </c>
    </row>
    <row r="19" customFormat="false" ht="15" hidden="false" customHeight="false" outlineLevel="0" collapsed="false">
      <c r="A19" s="5" t="s">
        <v>30</v>
      </c>
      <c r="B19" s="3" t="s">
        <v>31</v>
      </c>
    </row>
    <row r="20" customFormat="false" ht="15" hidden="false" customHeight="false" outlineLevel="0" collapsed="false">
      <c r="A20" s="5" t="s">
        <v>32</v>
      </c>
      <c r="B20" s="3" t="s">
        <v>33</v>
      </c>
    </row>
    <row r="22" customFormat="false" ht="15" hidden="false" customHeight="false" outlineLevel="0" collapsed="false">
      <c r="A22" s="4" t="s">
        <v>34</v>
      </c>
    </row>
    <row r="23" customFormat="false" ht="15" hidden="false" customHeight="false" outlineLevel="0" collapsed="false">
      <c r="A23" s="5" t="s">
        <v>35</v>
      </c>
      <c r="B23" s="5" t="s">
        <v>36</v>
      </c>
    </row>
    <row r="24" customFormat="false" ht="15" hidden="false" customHeight="false" outlineLevel="0" collapsed="false">
      <c r="A24" s="5" t="s">
        <v>37</v>
      </c>
      <c r="B24" s="5" t="s">
        <v>38</v>
      </c>
    </row>
    <row r="25" customFormat="false" ht="15" hidden="false" customHeight="false" outlineLevel="0" collapsed="false">
      <c r="A25" s="5" t="s">
        <v>39</v>
      </c>
      <c r="B25" s="5" t="s">
        <v>40</v>
      </c>
    </row>
    <row r="26" customFormat="false" ht="15" hidden="false" customHeight="false" outlineLevel="0" collapsed="false">
      <c r="A26" s="5" t="s">
        <v>41</v>
      </c>
      <c r="B26" s="5" t="s">
        <v>42</v>
      </c>
    </row>
    <row r="27" customFormat="false" ht="15" hidden="false" customHeight="false" outlineLevel="0" collapsed="false">
      <c r="A27" s="5" t="s">
        <v>43</v>
      </c>
      <c r="B27" s="5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1"/>
    <col collapsed="false" customWidth="true" hidden="false" outlineLevel="0" max="4" min="4" style="0" width="7"/>
    <col collapsed="false" customWidth="true" hidden="false" outlineLevel="0" max="6" min="5" style="0" width="22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8"/>
    <col collapsed="false" customWidth="true" hidden="false" outlineLevel="0" max="10" min="10" style="0" width="52"/>
    <col collapsed="false" customWidth="true" hidden="false" outlineLevel="0" max="11" min="11" style="0" width="44"/>
    <col collapsed="false" customWidth="true" hidden="false" outlineLevel="0" max="12" min="12" style="0" width="26"/>
    <col collapsed="false" customWidth="true" hidden="false" outlineLevel="0" max="13" min="13" style="0" width="11"/>
    <col collapsed="false" customWidth="true" hidden="false" outlineLevel="0" max="14" min="14" style="0" width="22"/>
    <col collapsed="false" customWidth="true" hidden="false" outlineLevel="0" max="15" min="15" style="0" width="24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6" t="s">
        <v>46</v>
      </c>
    </row>
    <row r="4" customFormat="false" ht="15" hidden="false" customHeight="false" outlineLevel="0" collapsed="false">
      <c r="A4" s="4" t="s">
        <v>47</v>
      </c>
      <c r="B4" s="7" t="n">
        <v>46321</v>
      </c>
    </row>
    <row r="6" customFormat="false" ht="57.45" hidden="false" customHeight="false" outlineLevel="0" collapsed="false">
      <c r="A6" s="8" t="s">
        <v>48</v>
      </c>
      <c r="B6" s="8" t="s">
        <v>49</v>
      </c>
      <c r="C6" s="8" t="s">
        <v>50</v>
      </c>
      <c r="D6" s="8" t="s">
        <v>51</v>
      </c>
      <c r="E6" s="8" t="s">
        <v>34</v>
      </c>
      <c r="F6" s="8" t="s">
        <v>52</v>
      </c>
      <c r="G6" s="8" t="s">
        <v>53</v>
      </c>
      <c r="H6" s="8" t="s">
        <v>54</v>
      </c>
      <c r="I6" s="8" t="s">
        <v>55</v>
      </c>
      <c r="J6" s="8" t="s">
        <v>56</v>
      </c>
      <c r="K6" s="8" t="s">
        <v>57</v>
      </c>
      <c r="L6" s="8" t="s">
        <v>58</v>
      </c>
      <c r="M6" s="8" t="s">
        <v>9</v>
      </c>
      <c r="N6" s="8" t="s">
        <v>59</v>
      </c>
      <c r="O6" s="8" t="s">
        <v>60</v>
      </c>
    </row>
    <row r="7" customFormat="false" ht="23.85" hidden="false" customHeight="false" outlineLevel="0" collapsed="false">
      <c r="A7" s="9" t="s">
        <v>61</v>
      </c>
      <c r="B7" s="9" t="n">
        <v>1</v>
      </c>
      <c r="C7" s="10" t="n">
        <f aca="false">$B$4+0</f>
        <v>46321</v>
      </c>
      <c r="D7" s="9" t="s">
        <v>62</v>
      </c>
      <c r="E7" s="11" t="s">
        <v>35</v>
      </c>
      <c r="F7" s="11" t="s">
        <v>36</v>
      </c>
      <c r="G7" s="9" t="s">
        <v>63</v>
      </c>
      <c r="H7" s="11" t="s">
        <v>64</v>
      </c>
      <c r="I7" s="9" t="n">
        <v>1</v>
      </c>
      <c r="J7" s="11" t="s">
        <v>65</v>
      </c>
      <c r="K7" s="11" t="s">
        <v>66</v>
      </c>
      <c r="L7" s="11"/>
      <c r="M7" s="12" t="s">
        <v>67</v>
      </c>
      <c r="N7" s="13"/>
      <c r="O7" s="13"/>
    </row>
    <row r="8" customFormat="false" ht="23.85" hidden="false" customHeight="false" outlineLevel="0" collapsed="false">
      <c r="A8" s="9" t="s">
        <v>68</v>
      </c>
      <c r="B8" s="9" t="n">
        <v>1</v>
      </c>
      <c r="C8" s="10" t="n">
        <f aca="false">$B$4+0</f>
        <v>46321</v>
      </c>
      <c r="D8" s="9" t="s">
        <v>62</v>
      </c>
      <c r="E8" s="11" t="s">
        <v>35</v>
      </c>
      <c r="F8" s="11" t="s">
        <v>36</v>
      </c>
      <c r="G8" s="9" t="s">
        <v>63</v>
      </c>
      <c r="H8" s="11" t="s">
        <v>64</v>
      </c>
      <c r="I8" s="9" t="n">
        <v>2</v>
      </c>
      <c r="J8" s="11" t="s">
        <v>69</v>
      </c>
      <c r="K8" s="11" t="s">
        <v>70</v>
      </c>
      <c r="L8" s="11"/>
      <c r="M8" s="12" t="s">
        <v>67</v>
      </c>
      <c r="N8" s="13"/>
      <c r="O8" s="13"/>
    </row>
    <row r="9" customFormat="false" ht="23.85" hidden="false" customHeight="false" outlineLevel="0" collapsed="false">
      <c r="A9" s="9" t="s">
        <v>71</v>
      </c>
      <c r="B9" s="9" t="n">
        <v>1</v>
      </c>
      <c r="C9" s="10" t="n">
        <f aca="false">$B$4+1</f>
        <v>46322</v>
      </c>
      <c r="D9" s="9" t="s">
        <v>72</v>
      </c>
      <c r="E9" s="11" t="s">
        <v>35</v>
      </c>
      <c r="F9" s="11" t="s">
        <v>36</v>
      </c>
      <c r="G9" s="9" t="s">
        <v>63</v>
      </c>
      <c r="H9" s="11" t="s">
        <v>64</v>
      </c>
      <c r="I9" s="9" t="n">
        <v>3</v>
      </c>
      <c r="J9" s="11" t="s">
        <v>73</v>
      </c>
      <c r="K9" s="11" t="s">
        <v>74</v>
      </c>
      <c r="L9" s="11"/>
      <c r="M9" s="12" t="s">
        <v>67</v>
      </c>
      <c r="N9" s="13"/>
      <c r="O9" s="13"/>
    </row>
    <row r="10" customFormat="false" ht="23.85" hidden="false" customHeight="false" outlineLevel="0" collapsed="false">
      <c r="A10" s="9" t="s">
        <v>75</v>
      </c>
      <c r="B10" s="9" t="n">
        <v>1</v>
      </c>
      <c r="C10" s="10" t="n">
        <f aca="false">$B$4+1</f>
        <v>46322</v>
      </c>
      <c r="D10" s="9" t="s">
        <v>72</v>
      </c>
      <c r="E10" s="11" t="s">
        <v>35</v>
      </c>
      <c r="F10" s="11" t="s">
        <v>36</v>
      </c>
      <c r="G10" s="9" t="s">
        <v>63</v>
      </c>
      <c r="H10" s="11" t="s">
        <v>64</v>
      </c>
      <c r="I10" s="9" t="n">
        <v>4</v>
      </c>
      <c r="J10" s="11" t="s">
        <v>76</v>
      </c>
      <c r="K10" s="11" t="s">
        <v>77</v>
      </c>
      <c r="L10" s="11"/>
      <c r="M10" s="12" t="s">
        <v>67</v>
      </c>
      <c r="N10" s="13"/>
      <c r="O10" s="13"/>
    </row>
    <row r="11" customFormat="false" ht="23.85" hidden="false" customHeight="false" outlineLevel="0" collapsed="false">
      <c r="A11" s="9" t="s">
        <v>78</v>
      </c>
      <c r="B11" s="9" t="n">
        <v>1</v>
      </c>
      <c r="C11" s="10" t="n">
        <f aca="false">$B$4+2</f>
        <v>46323</v>
      </c>
      <c r="D11" s="9" t="s">
        <v>79</v>
      </c>
      <c r="E11" s="11" t="s">
        <v>35</v>
      </c>
      <c r="F11" s="11" t="s">
        <v>36</v>
      </c>
      <c r="G11" s="9" t="s">
        <v>63</v>
      </c>
      <c r="H11" s="11" t="s">
        <v>64</v>
      </c>
      <c r="I11" s="9" t="n">
        <v>5</v>
      </c>
      <c r="J11" s="11" t="s">
        <v>80</v>
      </c>
      <c r="K11" s="11" t="s">
        <v>81</v>
      </c>
      <c r="L11" s="11"/>
      <c r="M11" s="12" t="s">
        <v>67</v>
      </c>
      <c r="N11" s="13"/>
      <c r="O11" s="13"/>
    </row>
    <row r="12" customFormat="false" ht="23.85" hidden="false" customHeight="false" outlineLevel="0" collapsed="false">
      <c r="A12" s="9" t="s">
        <v>82</v>
      </c>
      <c r="B12" s="9" t="n">
        <v>1</v>
      </c>
      <c r="C12" s="10" t="n">
        <f aca="false">$B$4+2</f>
        <v>46323</v>
      </c>
      <c r="D12" s="9" t="s">
        <v>79</v>
      </c>
      <c r="E12" s="11" t="s">
        <v>35</v>
      </c>
      <c r="F12" s="11" t="s">
        <v>36</v>
      </c>
      <c r="G12" s="9" t="s">
        <v>63</v>
      </c>
      <c r="H12" s="11" t="s">
        <v>64</v>
      </c>
      <c r="I12" s="9" t="n">
        <v>6</v>
      </c>
      <c r="J12" s="11" t="s">
        <v>83</v>
      </c>
      <c r="K12" s="11" t="s">
        <v>84</v>
      </c>
      <c r="L12" s="11"/>
      <c r="M12" s="12" t="s">
        <v>67</v>
      </c>
      <c r="N12" s="13"/>
      <c r="O12" s="13"/>
    </row>
    <row r="13" customFormat="false" ht="23.85" hidden="false" customHeight="false" outlineLevel="0" collapsed="false">
      <c r="A13" s="9" t="s">
        <v>85</v>
      </c>
      <c r="B13" s="9" t="n">
        <v>1</v>
      </c>
      <c r="C13" s="10" t="n">
        <f aca="false">$B$4+3</f>
        <v>46324</v>
      </c>
      <c r="D13" s="9" t="s">
        <v>86</v>
      </c>
      <c r="E13" s="11" t="s">
        <v>35</v>
      </c>
      <c r="F13" s="11" t="s">
        <v>36</v>
      </c>
      <c r="G13" s="9" t="s">
        <v>63</v>
      </c>
      <c r="H13" s="11" t="s">
        <v>64</v>
      </c>
      <c r="I13" s="9" t="n">
        <v>7</v>
      </c>
      <c r="J13" s="11" t="s">
        <v>87</v>
      </c>
      <c r="K13" s="11" t="s">
        <v>88</v>
      </c>
      <c r="L13" s="11"/>
      <c r="M13" s="12" t="s">
        <v>67</v>
      </c>
      <c r="N13" s="13"/>
      <c r="O13" s="13"/>
    </row>
    <row r="14" customFormat="false" ht="23.85" hidden="false" customHeight="false" outlineLevel="0" collapsed="false">
      <c r="A14" s="9" t="s">
        <v>89</v>
      </c>
      <c r="B14" s="9" t="n">
        <v>1</v>
      </c>
      <c r="C14" s="10" t="n">
        <f aca="false">$B$4+3</f>
        <v>46324</v>
      </c>
      <c r="D14" s="9" t="s">
        <v>86</v>
      </c>
      <c r="E14" s="11" t="s">
        <v>35</v>
      </c>
      <c r="F14" s="11" t="s">
        <v>36</v>
      </c>
      <c r="G14" s="9" t="s">
        <v>63</v>
      </c>
      <c r="H14" s="11" t="s">
        <v>64</v>
      </c>
      <c r="I14" s="9" t="n">
        <v>8</v>
      </c>
      <c r="J14" s="11" t="s">
        <v>90</v>
      </c>
      <c r="K14" s="11" t="s">
        <v>91</v>
      </c>
      <c r="L14" s="11"/>
      <c r="M14" s="12" t="s">
        <v>67</v>
      </c>
      <c r="N14" s="13"/>
      <c r="O14" s="13"/>
    </row>
    <row r="15" customFormat="false" ht="23.85" hidden="false" customHeight="false" outlineLevel="0" collapsed="false">
      <c r="A15" s="9" t="s">
        <v>92</v>
      </c>
      <c r="B15" s="9" t="n">
        <v>1</v>
      </c>
      <c r="C15" s="10" t="n">
        <f aca="false">$B$4+4</f>
        <v>46325</v>
      </c>
      <c r="D15" s="9" t="s">
        <v>93</v>
      </c>
      <c r="E15" s="11" t="s">
        <v>35</v>
      </c>
      <c r="F15" s="11" t="s">
        <v>36</v>
      </c>
      <c r="G15" s="9" t="s">
        <v>63</v>
      </c>
      <c r="H15" s="11" t="s">
        <v>64</v>
      </c>
      <c r="I15" s="9" t="n">
        <v>9</v>
      </c>
      <c r="J15" s="11" t="s">
        <v>94</v>
      </c>
      <c r="K15" s="11" t="s">
        <v>95</v>
      </c>
      <c r="L15" s="11"/>
      <c r="M15" s="12" t="s">
        <v>67</v>
      </c>
      <c r="N15" s="13"/>
      <c r="O15" s="13"/>
    </row>
    <row r="16" customFormat="false" ht="23.85" hidden="false" customHeight="false" outlineLevel="0" collapsed="false">
      <c r="A16" s="9" t="s">
        <v>96</v>
      </c>
      <c r="B16" s="9" t="n">
        <v>1</v>
      </c>
      <c r="C16" s="10" t="n">
        <f aca="false">$B$4+4</f>
        <v>46325</v>
      </c>
      <c r="D16" s="9" t="s">
        <v>93</v>
      </c>
      <c r="E16" s="11" t="s">
        <v>35</v>
      </c>
      <c r="F16" s="11" t="s">
        <v>36</v>
      </c>
      <c r="G16" s="9" t="s">
        <v>63</v>
      </c>
      <c r="H16" s="11" t="s">
        <v>64</v>
      </c>
      <c r="I16" s="9" t="n">
        <v>10</v>
      </c>
      <c r="J16" s="11" t="s">
        <v>97</v>
      </c>
      <c r="K16" s="11" t="s">
        <v>98</v>
      </c>
      <c r="L16" s="11" t="s">
        <v>99</v>
      </c>
      <c r="M16" s="12" t="s">
        <v>67</v>
      </c>
      <c r="N16" s="13"/>
      <c r="O16" s="13"/>
    </row>
    <row r="17" customFormat="false" ht="15" hidden="false" customHeight="false" outlineLevel="0" collapsed="false">
      <c r="A17" s="9" t="s">
        <v>100</v>
      </c>
      <c r="B17" s="9" t="n">
        <v>1</v>
      </c>
      <c r="C17" s="10" t="n">
        <f aca="false">$B$4+0</f>
        <v>46321</v>
      </c>
      <c r="D17" s="9" t="s">
        <v>62</v>
      </c>
      <c r="E17" s="11" t="s">
        <v>37</v>
      </c>
      <c r="F17" s="11" t="s">
        <v>38</v>
      </c>
      <c r="G17" s="9" t="s">
        <v>101</v>
      </c>
      <c r="H17" s="11" t="s">
        <v>102</v>
      </c>
      <c r="I17" s="9" t="n">
        <v>1</v>
      </c>
      <c r="J17" s="11" t="s">
        <v>103</v>
      </c>
      <c r="K17" s="11" t="s">
        <v>104</v>
      </c>
      <c r="L17" s="11" t="s">
        <v>105</v>
      </c>
      <c r="M17" s="12" t="s">
        <v>67</v>
      </c>
      <c r="N17" s="13"/>
      <c r="O17" s="13"/>
    </row>
    <row r="18" customFormat="false" ht="15" hidden="false" customHeight="false" outlineLevel="0" collapsed="false">
      <c r="A18" s="9" t="s">
        <v>106</v>
      </c>
      <c r="B18" s="9" t="n">
        <v>1</v>
      </c>
      <c r="C18" s="10" t="n">
        <f aca="false">$B$4+0</f>
        <v>46321</v>
      </c>
      <c r="D18" s="9" t="s">
        <v>62</v>
      </c>
      <c r="E18" s="11" t="s">
        <v>37</v>
      </c>
      <c r="F18" s="11" t="s">
        <v>38</v>
      </c>
      <c r="G18" s="9" t="s">
        <v>101</v>
      </c>
      <c r="H18" s="11" t="s">
        <v>102</v>
      </c>
      <c r="I18" s="9" t="n">
        <v>2</v>
      </c>
      <c r="J18" s="11" t="s">
        <v>107</v>
      </c>
      <c r="K18" s="11" t="s">
        <v>108</v>
      </c>
      <c r="L18" s="11"/>
      <c r="M18" s="12" t="s">
        <v>67</v>
      </c>
      <c r="N18" s="13"/>
      <c r="O18" s="13"/>
    </row>
    <row r="19" customFormat="false" ht="23.85" hidden="false" customHeight="false" outlineLevel="0" collapsed="false">
      <c r="A19" s="9" t="s">
        <v>109</v>
      </c>
      <c r="B19" s="9" t="n">
        <v>1</v>
      </c>
      <c r="C19" s="10" t="n">
        <f aca="false">$B$4+1</f>
        <v>46322</v>
      </c>
      <c r="D19" s="9" t="s">
        <v>72</v>
      </c>
      <c r="E19" s="11" t="s">
        <v>37</v>
      </c>
      <c r="F19" s="11" t="s">
        <v>38</v>
      </c>
      <c r="G19" s="9" t="s">
        <v>101</v>
      </c>
      <c r="H19" s="11" t="s">
        <v>102</v>
      </c>
      <c r="I19" s="9" t="n">
        <v>3</v>
      </c>
      <c r="J19" s="11" t="s">
        <v>110</v>
      </c>
      <c r="K19" s="11" t="s">
        <v>111</v>
      </c>
      <c r="L19" s="11"/>
      <c r="M19" s="12" t="s">
        <v>67</v>
      </c>
      <c r="N19" s="13"/>
      <c r="O19" s="13"/>
    </row>
    <row r="20" customFormat="false" ht="15" hidden="false" customHeight="false" outlineLevel="0" collapsed="false">
      <c r="A20" s="9" t="s">
        <v>112</v>
      </c>
      <c r="B20" s="9" t="n">
        <v>1</v>
      </c>
      <c r="C20" s="10" t="n">
        <f aca="false">$B$4+1</f>
        <v>46322</v>
      </c>
      <c r="D20" s="9" t="s">
        <v>72</v>
      </c>
      <c r="E20" s="11" t="s">
        <v>37</v>
      </c>
      <c r="F20" s="11" t="s">
        <v>38</v>
      </c>
      <c r="G20" s="9" t="s">
        <v>101</v>
      </c>
      <c r="H20" s="11" t="s">
        <v>102</v>
      </c>
      <c r="I20" s="9" t="n">
        <v>4</v>
      </c>
      <c r="J20" s="11" t="s">
        <v>113</v>
      </c>
      <c r="K20" s="11" t="s">
        <v>114</v>
      </c>
      <c r="L20" s="11"/>
      <c r="M20" s="12" t="s">
        <v>67</v>
      </c>
      <c r="N20" s="13"/>
      <c r="O20" s="13"/>
    </row>
    <row r="21" customFormat="false" ht="15" hidden="false" customHeight="false" outlineLevel="0" collapsed="false">
      <c r="A21" s="9" t="s">
        <v>115</v>
      </c>
      <c r="B21" s="9" t="n">
        <v>1</v>
      </c>
      <c r="C21" s="10" t="n">
        <f aca="false">$B$4+2</f>
        <v>46323</v>
      </c>
      <c r="D21" s="9" t="s">
        <v>79</v>
      </c>
      <c r="E21" s="11" t="s">
        <v>37</v>
      </c>
      <c r="F21" s="11" t="s">
        <v>38</v>
      </c>
      <c r="G21" s="9" t="s">
        <v>101</v>
      </c>
      <c r="H21" s="11" t="s">
        <v>102</v>
      </c>
      <c r="I21" s="9" t="n">
        <v>5</v>
      </c>
      <c r="J21" s="11" t="s">
        <v>116</v>
      </c>
      <c r="K21" s="11" t="s">
        <v>117</v>
      </c>
      <c r="L21" s="11"/>
      <c r="M21" s="12" t="s">
        <v>67</v>
      </c>
      <c r="N21" s="13"/>
      <c r="O21" s="13"/>
    </row>
    <row r="22" customFormat="false" ht="15" hidden="false" customHeight="false" outlineLevel="0" collapsed="false">
      <c r="A22" s="9" t="s">
        <v>118</v>
      </c>
      <c r="B22" s="9" t="n">
        <v>1</v>
      </c>
      <c r="C22" s="10" t="n">
        <f aca="false">$B$4+2</f>
        <v>46323</v>
      </c>
      <c r="D22" s="9" t="s">
        <v>79</v>
      </c>
      <c r="E22" s="11" t="s">
        <v>37</v>
      </c>
      <c r="F22" s="11" t="s">
        <v>38</v>
      </c>
      <c r="G22" s="9" t="s">
        <v>101</v>
      </c>
      <c r="H22" s="11" t="s">
        <v>102</v>
      </c>
      <c r="I22" s="9" t="n">
        <v>6</v>
      </c>
      <c r="J22" s="11" t="s">
        <v>119</v>
      </c>
      <c r="K22" s="11" t="s">
        <v>120</v>
      </c>
      <c r="L22" s="11"/>
      <c r="M22" s="12" t="s">
        <v>67</v>
      </c>
      <c r="N22" s="13"/>
      <c r="O22" s="13"/>
    </row>
    <row r="23" customFormat="false" ht="15" hidden="false" customHeight="false" outlineLevel="0" collapsed="false">
      <c r="A23" s="9" t="s">
        <v>121</v>
      </c>
      <c r="B23" s="9" t="n">
        <v>1</v>
      </c>
      <c r="C23" s="10" t="n">
        <f aca="false">$B$4+3</f>
        <v>46324</v>
      </c>
      <c r="D23" s="9" t="s">
        <v>86</v>
      </c>
      <c r="E23" s="11" t="s">
        <v>37</v>
      </c>
      <c r="F23" s="11" t="s">
        <v>38</v>
      </c>
      <c r="G23" s="9" t="s">
        <v>101</v>
      </c>
      <c r="H23" s="11" t="s">
        <v>102</v>
      </c>
      <c r="I23" s="9" t="n">
        <v>7</v>
      </c>
      <c r="J23" s="11" t="s">
        <v>122</v>
      </c>
      <c r="K23" s="11" t="s">
        <v>123</v>
      </c>
      <c r="L23" s="11"/>
      <c r="M23" s="12" t="s">
        <v>67</v>
      </c>
      <c r="N23" s="13"/>
      <c r="O23" s="13"/>
    </row>
    <row r="24" customFormat="false" ht="15" hidden="false" customHeight="false" outlineLevel="0" collapsed="false">
      <c r="A24" s="9" t="s">
        <v>124</v>
      </c>
      <c r="B24" s="9" t="n">
        <v>1</v>
      </c>
      <c r="C24" s="10" t="n">
        <f aca="false">$B$4+3</f>
        <v>46324</v>
      </c>
      <c r="D24" s="9" t="s">
        <v>86</v>
      </c>
      <c r="E24" s="11" t="s">
        <v>37</v>
      </c>
      <c r="F24" s="11" t="s">
        <v>38</v>
      </c>
      <c r="G24" s="9" t="s">
        <v>101</v>
      </c>
      <c r="H24" s="11" t="s">
        <v>102</v>
      </c>
      <c r="I24" s="9" t="n">
        <v>8</v>
      </c>
      <c r="J24" s="11" t="s">
        <v>125</v>
      </c>
      <c r="K24" s="11" t="s">
        <v>126</v>
      </c>
      <c r="L24" s="11"/>
      <c r="M24" s="12" t="s">
        <v>67</v>
      </c>
      <c r="N24" s="13"/>
      <c r="O24" s="13"/>
    </row>
    <row r="25" customFormat="false" ht="15" hidden="false" customHeight="false" outlineLevel="0" collapsed="false">
      <c r="A25" s="9" t="s">
        <v>127</v>
      </c>
      <c r="B25" s="9" t="n">
        <v>1</v>
      </c>
      <c r="C25" s="10" t="n">
        <f aca="false">$B$4+4</f>
        <v>46325</v>
      </c>
      <c r="D25" s="9" t="s">
        <v>93</v>
      </c>
      <c r="E25" s="11" t="s">
        <v>37</v>
      </c>
      <c r="F25" s="11" t="s">
        <v>38</v>
      </c>
      <c r="G25" s="9" t="s">
        <v>101</v>
      </c>
      <c r="H25" s="11" t="s">
        <v>102</v>
      </c>
      <c r="I25" s="9" t="n">
        <v>9</v>
      </c>
      <c r="J25" s="11" t="s">
        <v>128</v>
      </c>
      <c r="K25" s="11" t="s">
        <v>129</v>
      </c>
      <c r="L25" s="11"/>
      <c r="M25" s="12" t="s">
        <v>67</v>
      </c>
      <c r="N25" s="13"/>
      <c r="O25" s="13"/>
    </row>
    <row r="26" customFormat="false" ht="15" hidden="false" customHeight="false" outlineLevel="0" collapsed="false">
      <c r="A26" s="9" t="s">
        <v>130</v>
      </c>
      <c r="B26" s="9" t="n">
        <v>1</v>
      </c>
      <c r="C26" s="10" t="n">
        <f aca="false">$B$4+4</f>
        <v>46325</v>
      </c>
      <c r="D26" s="9" t="s">
        <v>93</v>
      </c>
      <c r="E26" s="11" t="s">
        <v>37</v>
      </c>
      <c r="F26" s="11" t="s">
        <v>38</v>
      </c>
      <c r="G26" s="9" t="s">
        <v>101</v>
      </c>
      <c r="H26" s="11" t="s">
        <v>102</v>
      </c>
      <c r="I26" s="9" t="n">
        <v>10</v>
      </c>
      <c r="J26" s="11" t="s">
        <v>131</v>
      </c>
      <c r="K26" s="11" t="s">
        <v>132</v>
      </c>
      <c r="L26" s="11"/>
      <c r="M26" s="12" t="s">
        <v>67</v>
      </c>
      <c r="N26" s="13"/>
      <c r="O26" s="13"/>
    </row>
    <row r="27" customFormat="false" ht="15" hidden="false" customHeight="false" outlineLevel="0" collapsed="false">
      <c r="A27" s="9" t="s">
        <v>133</v>
      </c>
      <c r="B27" s="9" t="n">
        <v>1</v>
      </c>
      <c r="C27" s="10" t="n">
        <f aca="false">$B$4+0</f>
        <v>46321</v>
      </c>
      <c r="D27" s="9" t="s">
        <v>62</v>
      </c>
      <c r="E27" s="11" t="s">
        <v>39</v>
      </c>
      <c r="F27" s="11" t="s">
        <v>40</v>
      </c>
      <c r="G27" s="9" t="s">
        <v>134</v>
      </c>
      <c r="H27" s="11" t="s">
        <v>135</v>
      </c>
      <c r="I27" s="9" t="n">
        <v>1</v>
      </c>
      <c r="J27" s="11" t="s">
        <v>136</v>
      </c>
      <c r="K27" s="11" t="s">
        <v>137</v>
      </c>
      <c r="L27" s="11"/>
      <c r="M27" s="12" t="s">
        <v>67</v>
      </c>
      <c r="N27" s="13"/>
      <c r="O27" s="13"/>
    </row>
    <row r="28" customFormat="false" ht="15" hidden="false" customHeight="false" outlineLevel="0" collapsed="false">
      <c r="A28" s="9" t="s">
        <v>138</v>
      </c>
      <c r="B28" s="9" t="n">
        <v>1</v>
      </c>
      <c r="C28" s="10" t="n">
        <f aca="false">$B$4+0</f>
        <v>46321</v>
      </c>
      <c r="D28" s="9" t="s">
        <v>62</v>
      </c>
      <c r="E28" s="11" t="s">
        <v>39</v>
      </c>
      <c r="F28" s="11" t="s">
        <v>40</v>
      </c>
      <c r="G28" s="9" t="s">
        <v>134</v>
      </c>
      <c r="H28" s="11" t="s">
        <v>135</v>
      </c>
      <c r="I28" s="9" t="n">
        <v>2</v>
      </c>
      <c r="J28" s="11" t="s">
        <v>139</v>
      </c>
      <c r="K28" s="11"/>
      <c r="L28" s="11"/>
      <c r="M28" s="12" t="s">
        <v>67</v>
      </c>
      <c r="N28" s="13"/>
      <c r="O28" s="13"/>
    </row>
    <row r="29" customFormat="false" ht="15" hidden="false" customHeight="false" outlineLevel="0" collapsed="false">
      <c r="A29" s="9" t="s">
        <v>140</v>
      </c>
      <c r="B29" s="9" t="n">
        <v>1</v>
      </c>
      <c r="C29" s="10" t="n">
        <f aca="false">$B$4+1</f>
        <v>46322</v>
      </c>
      <c r="D29" s="9" t="s">
        <v>72</v>
      </c>
      <c r="E29" s="11" t="s">
        <v>39</v>
      </c>
      <c r="F29" s="11" t="s">
        <v>40</v>
      </c>
      <c r="G29" s="9" t="s">
        <v>134</v>
      </c>
      <c r="H29" s="11" t="s">
        <v>135</v>
      </c>
      <c r="I29" s="9" t="n">
        <v>3</v>
      </c>
      <c r="J29" s="11" t="s">
        <v>141</v>
      </c>
      <c r="K29" s="11" t="s">
        <v>142</v>
      </c>
      <c r="L29" s="11"/>
      <c r="M29" s="12" t="s">
        <v>67</v>
      </c>
      <c r="N29" s="13"/>
      <c r="O29" s="13"/>
    </row>
    <row r="30" customFormat="false" ht="15" hidden="false" customHeight="false" outlineLevel="0" collapsed="false">
      <c r="A30" s="9" t="s">
        <v>143</v>
      </c>
      <c r="B30" s="9" t="n">
        <v>1</v>
      </c>
      <c r="C30" s="10" t="n">
        <f aca="false">$B$4+1</f>
        <v>46322</v>
      </c>
      <c r="D30" s="9" t="s">
        <v>72</v>
      </c>
      <c r="E30" s="11" t="s">
        <v>39</v>
      </c>
      <c r="F30" s="11" t="s">
        <v>40</v>
      </c>
      <c r="G30" s="9" t="s">
        <v>134</v>
      </c>
      <c r="H30" s="11" t="s">
        <v>135</v>
      </c>
      <c r="I30" s="9" t="n">
        <v>4</v>
      </c>
      <c r="J30" s="11" t="s">
        <v>144</v>
      </c>
      <c r="K30" s="11" t="s">
        <v>145</v>
      </c>
      <c r="L30" s="11"/>
      <c r="M30" s="12" t="s">
        <v>67</v>
      </c>
      <c r="N30" s="13"/>
      <c r="O30" s="13"/>
    </row>
    <row r="31" customFormat="false" ht="15" hidden="false" customHeight="false" outlineLevel="0" collapsed="false">
      <c r="A31" s="9" t="s">
        <v>146</v>
      </c>
      <c r="B31" s="9" t="n">
        <v>1</v>
      </c>
      <c r="C31" s="10" t="n">
        <f aca="false">$B$4+2</f>
        <v>46323</v>
      </c>
      <c r="D31" s="9" t="s">
        <v>79</v>
      </c>
      <c r="E31" s="11" t="s">
        <v>39</v>
      </c>
      <c r="F31" s="11" t="s">
        <v>40</v>
      </c>
      <c r="G31" s="9" t="s">
        <v>134</v>
      </c>
      <c r="H31" s="11" t="s">
        <v>135</v>
      </c>
      <c r="I31" s="9" t="n">
        <v>5</v>
      </c>
      <c r="J31" s="11" t="s">
        <v>147</v>
      </c>
      <c r="K31" s="11" t="s">
        <v>148</v>
      </c>
      <c r="L31" s="11"/>
      <c r="M31" s="12" t="s">
        <v>67</v>
      </c>
      <c r="N31" s="13"/>
      <c r="O31" s="13"/>
    </row>
    <row r="32" customFormat="false" ht="15" hidden="false" customHeight="false" outlineLevel="0" collapsed="false">
      <c r="A32" s="9" t="s">
        <v>149</v>
      </c>
      <c r="B32" s="9" t="n">
        <v>1</v>
      </c>
      <c r="C32" s="10" t="n">
        <f aca="false">$B$4+2</f>
        <v>46323</v>
      </c>
      <c r="D32" s="9" t="s">
        <v>79</v>
      </c>
      <c r="E32" s="11" t="s">
        <v>39</v>
      </c>
      <c r="F32" s="11" t="s">
        <v>40</v>
      </c>
      <c r="G32" s="9" t="s">
        <v>134</v>
      </c>
      <c r="H32" s="11" t="s">
        <v>135</v>
      </c>
      <c r="I32" s="9" t="n">
        <v>6</v>
      </c>
      <c r="J32" s="11" t="s">
        <v>150</v>
      </c>
      <c r="K32" s="11"/>
      <c r="L32" s="11"/>
      <c r="M32" s="12" t="s">
        <v>67</v>
      </c>
      <c r="N32" s="13"/>
      <c r="O32" s="13"/>
    </row>
    <row r="33" customFormat="false" ht="15" hidden="false" customHeight="false" outlineLevel="0" collapsed="false">
      <c r="A33" s="9" t="s">
        <v>151</v>
      </c>
      <c r="B33" s="9" t="n">
        <v>1</v>
      </c>
      <c r="C33" s="10" t="n">
        <f aca="false">$B$4+3</f>
        <v>46324</v>
      </c>
      <c r="D33" s="9" t="s">
        <v>86</v>
      </c>
      <c r="E33" s="11" t="s">
        <v>39</v>
      </c>
      <c r="F33" s="11" t="s">
        <v>40</v>
      </c>
      <c r="G33" s="9" t="s">
        <v>134</v>
      </c>
      <c r="H33" s="11" t="s">
        <v>135</v>
      </c>
      <c r="I33" s="9" t="n">
        <v>7</v>
      </c>
      <c r="J33" s="11" t="s">
        <v>152</v>
      </c>
      <c r="K33" s="11"/>
      <c r="L33" s="11"/>
      <c r="M33" s="12" t="s">
        <v>67</v>
      </c>
      <c r="N33" s="13"/>
      <c r="O33" s="13"/>
    </row>
    <row r="34" customFormat="false" ht="15" hidden="false" customHeight="false" outlineLevel="0" collapsed="false">
      <c r="A34" s="9" t="s">
        <v>153</v>
      </c>
      <c r="B34" s="9" t="n">
        <v>1</v>
      </c>
      <c r="C34" s="10" t="n">
        <f aca="false">$B$4+3</f>
        <v>46324</v>
      </c>
      <c r="D34" s="9" t="s">
        <v>86</v>
      </c>
      <c r="E34" s="11" t="s">
        <v>39</v>
      </c>
      <c r="F34" s="11" t="s">
        <v>40</v>
      </c>
      <c r="G34" s="9" t="s">
        <v>134</v>
      </c>
      <c r="H34" s="11" t="s">
        <v>135</v>
      </c>
      <c r="I34" s="9" t="n">
        <v>8</v>
      </c>
      <c r="J34" s="11" t="s">
        <v>154</v>
      </c>
      <c r="K34" s="11"/>
      <c r="L34" s="11"/>
      <c r="M34" s="12" t="s">
        <v>67</v>
      </c>
      <c r="N34" s="13"/>
      <c r="O34" s="13"/>
    </row>
    <row r="35" customFormat="false" ht="15" hidden="false" customHeight="false" outlineLevel="0" collapsed="false">
      <c r="A35" s="9" t="s">
        <v>155</v>
      </c>
      <c r="B35" s="9" t="n">
        <v>1</v>
      </c>
      <c r="C35" s="10" t="n">
        <f aca="false">$B$4+4</f>
        <v>46325</v>
      </c>
      <c r="D35" s="9" t="s">
        <v>93</v>
      </c>
      <c r="E35" s="11" t="s">
        <v>39</v>
      </c>
      <c r="F35" s="11" t="s">
        <v>40</v>
      </c>
      <c r="G35" s="9" t="s">
        <v>134</v>
      </c>
      <c r="H35" s="11" t="s">
        <v>135</v>
      </c>
      <c r="I35" s="9" t="n">
        <v>9</v>
      </c>
      <c r="J35" s="11" t="s">
        <v>156</v>
      </c>
      <c r="K35" s="11"/>
      <c r="L35" s="11"/>
      <c r="M35" s="12" t="s">
        <v>67</v>
      </c>
      <c r="N35" s="13"/>
      <c r="O35" s="13"/>
    </row>
    <row r="36" customFormat="false" ht="15" hidden="false" customHeight="false" outlineLevel="0" collapsed="false">
      <c r="A36" s="9" t="s">
        <v>157</v>
      </c>
      <c r="B36" s="9" t="n">
        <v>1</v>
      </c>
      <c r="C36" s="10" t="n">
        <f aca="false">$B$4+4</f>
        <v>46325</v>
      </c>
      <c r="D36" s="9" t="s">
        <v>93</v>
      </c>
      <c r="E36" s="11" t="s">
        <v>39</v>
      </c>
      <c r="F36" s="11" t="s">
        <v>40</v>
      </c>
      <c r="G36" s="9" t="s">
        <v>134</v>
      </c>
      <c r="H36" s="11" t="s">
        <v>135</v>
      </c>
      <c r="I36" s="9" t="n">
        <v>10</v>
      </c>
      <c r="J36" s="11" t="s">
        <v>158</v>
      </c>
      <c r="K36" s="11" t="s">
        <v>159</v>
      </c>
      <c r="L36" s="11"/>
      <c r="M36" s="12" t="s">
        <v>67</v>
      </c>
      <c r="N36" s="13"/>
      <c r="O36" s="13"/>
    </row>
    <row r="37" customFormat="false" ht="15" hidden="false" customHeight="false" outlineLevel="0" collapsed="false">
      <c r="A37" s="9" t="s">
        <v>160</v>
      </c>
      <c r="B37" s="9" t="n">
        <v>1</v>
      </c>
      <c r="C37" s="10" t="n">
        <f aca="false">$B$4+0</f>
        <v>46321</v>
      </c>
      <c r="D37" s="9" t="s">
        <v>62</v>
      </c>
      <c r="E37" s="11" t="s">
        <v>41</v>
      </c>
      <c r="F37" s="11" t="s">
        <v>42</v>
      </c>
      <c r="G37" s="9" t="s">
        <v>161</v>
      </c>
      <c r="H37" s="11" t="s">
        <v>162</v>
      </c>
      <c r="I37" s="9" t="n">
        <v>1</v>
      </c>
      <c r="J37" s="11" t="s">
        <v>163</v>
      </c>
      <c r="K37" s="11"/>
      <c r="L37" s="11"/>
      <c r="M37" s="12" t="s">
        <v>67</v>
      </c>
      <c r="N37" s="13"/>
      <c r="O37" s="13"/>
    </row>
    <row r="38" customFormat="false" ht="15" hidden="false" customHeight="false" outlineLevel="0" collapsed="false">
      <c r="A38" s="9" t="s">
        <v>164</v>
      </c>
      <c r="B38" s="9" t="n">
        <v>1</v>
      </c>
      <c r="C38" s="10" t="n">
        <f aca="false">$B$4+0</f>
        <v>46321</v>
      </c>
      <c r="D38" s="9" t="s">
        <v>62</v>
      </c>
      <c r="E38" s="11" t="s">
        <v>41</v>
      </c>
      <c r="F38" s="11" t="s">
        <v>42</v>
      </c>
      <c r="G38" s="9" t="s">
        <v>161</v>
      </c>
      <c r="H38" s="11" t="s">
        <v>162</v>
      </c>
      <c r="I38" s="9" t="n">
        <v>2</v>
      </c>
      <c r="J38" s="11" t="s">
        <v>165</v>
      </c>
      <c r="K38" s="11"/>
      <c r="L38" s="11"/>
      <c r="M38" s="12" t="s">
        <v>67</v>
      </c>
      <c r="N38" s="13"/>
      <c r="O38" s="13"/>
    </row>
    <row r="39" customFormat="false" ht="15" hidden="false" customHeight="false" outlineLevel="0" collapsed="false">
      <c r="A39" s="9" t="s">
        <v>166</v>
      </c>
      <c r="B39" s="9" t="n">
        <v>1</v>
      </c>
      <c r="C39" s="10" t="n">
        <f aca="false">$B$4+1</f>
        <v>46322</v>
      </c>
      <c r="D39" s="9" t="s">
        <v>72</v>
      </c>
      <c r="E39" s="11" t="s">
        <v>41</v>
      </c>
      <c r="F39" s="11" t="s">
        <v>42</v>
      </c>
      <c r="G39" s="9" t="s">
        <v>161</v>
      </c>
      <c r="H39" s="11" t="s">
        <v>162</v>
      </c>
      <c r="I39" s="9" t="n">
        <v>3</v>
      </c>
      <c r="J39" s="11" t="s">
        <v>167</v>
      </c>
      <c r="K39" s="11" t="s">
        <v>168</v>
      </c>
      <c r="L39" s="11"/>
      <c r="M39" s="12" t="s">
        <v>67</v>
      </c>
      <c r="N39" s="13"/>
      <c r="O39" s="13"/>
    </row>
    <row r="40" customFormat="false" ht="23.85" hidden="false" customHeight="false" outlineLevel="0" collapsed="false">
      <c r="A40" s="9" t="s">
        <v>169</v>
      </c>
      <c r="B40" s="9" t="n">
        <v>1</v>
      </c>
      <c r="C40" s="10" t="n">
        <f aca="false">$B$4+1</f>
        <v>46322</v>
      </c>
      <c r="D40" s="9" t="s">
        <v>72</v>
      </c>
      <c r="E40" s="11" t="s">
        <v>41</v>
      </c>
      <c r="F40" s="11" t="s">
        <v>42</v>
      </c>
      <c r="G40" s="9" t="s">
        <v>161</v>
      </c>
      <c r="H40" s="11" t="s">
        <v>162</v>
      </c>
      <c r="I40" s="9" t="n">
        <v>4</v>
      </c>
      <c r="J40" s="11" t="s">
        <v>170</v>
      </c>
      <c r="K40" s="11" t="s">
        <v>171</v>
      </c>
      <c r="L40" s="11"/>
      <c r="M40" s="12" t="s">
        <v>67</v>
      </c>
      <c r="N40" s="13"/>
      <c r="O40" s="13"/>
    </row>
    <row r="41" customFormat="false" ht="15" hidden="false" customHeight="false" outlineLevel="0" collapsed="false">
      <c r="A41" s="9" t="s">
        <v>172</v>
      </c>
      <c r="B41" s="9" t="n">
        <v>1</v>
      </c>
      <c r="C41" s="10" t="n">
        <f aca="false">$B$4+2</f>
        <v>46323</v>
      </c>
      <c r="D41" s="9" t="s">
        <v>79</v>
      </c>
      <c r="E41" s="11" t="s">
        <v>41</v>
      </c>
      <c r="F41" s="11" t="s">
        <v>42</v>
      </c>
      <c r="G41" s="9" t="s">
        <v>161</v>
      </c>
      <c r="H41" s="11" t="s">
        <v>162</v>
      </c>
      <c r="I41" s="9" t="n">
        <v>5</v>
      </c>
      <c r="J41" s="11" t="s">
        <v>173</v>
      </c>
      <c r="K41" s="11"/>
      <c r="L41" s="11"/>
      <c r="M41" s="12" t="s">
        <v>67</v>
      </c>
      <c r="N41" s="13"/>
      <c r="O41" s="13"/>
    </row>
    <row r="42" customFormat="false" ht="15" hidden="false" customHeight="false" outlineLevel="0" collapsed="false">
      <c r="A42" s="9" t="s">
        <v>174</v>
      </c>
      <c r="B42" s="9" t="n">
        <v>1</v>
      </c>
      <c r="C42" s="10" t="n">
        <f aca="false">$B$4+2</f>
        <v>46323</v>
      </c>
      <c r="D42" s="9" t="s">
        <v>79</v>
      </c>
      <c r="E42" s="11" t="s">
        <v>41</v>
      </c>
      <c r="F42" s="11" t="s">
        <v>42</v>
      </c>
      <c r="G42" s="9" t="s">
        <v>161</v>
      </c>
      <c r="H42" s="11" t="s">
        <v>162</v>
      </c>
      <c r="I42" s="9" t="n">
        <v>6</v>
      </c>
      <c r="J42" s="11" t="s">
        <v>175</v>
      </c>
      <c r="K42" s="11" t="s">
        <v>176</v>
      </c>
      <c r="L42" s="11"/>
      <c r="M42" s="12" t="s">
        <v>67</v>
      </c>
      <c r="N42" s="13"/>
      <c r="O42" s="13"/>
    </row>
    <row r="43" customFormat="false" ht="15" hidden="false" customHeight="false" outlineLevel="0" collapsed="false">
      <c r="A43" s="9" t="s">
        <v>177</v>
      </c>
      <c r="B43" s="9" t="n">
        <v>1</v>
      </c>
      <c r="C43" s="10" t="n">
        <f aca="false">$B$4+3</f>
        <v>46324</v>
      </c>
      <c r="D43" s="9" t="s">
        <v>86</v>
      </c>
      <c r="E43" s="11" t="s">
        <v>41</v>
      </c>
      <c r="F43" s="11" t="s">
        <v>42</v>
      </c>
      <c r="G43" s="9" t="s">
        <v>161</v>
      </c>
      <c r="H43" s="11" t="s">
        <v>162</v>
      </c>
      <c r="I43" s="9" t="n">
        <v>7</v>
      </c>
      <c r="J43" s="11" t="s">
        <v>178</v>
      </c>
      <c r="K43" s="11"/>
      <c r="L43" s="11"/>
      <c r="M43" s="12" t="s">
        <v>67</v>
      </c>
      <c r="N43" s="13"/>
      <c r="O43" s="13"/>
    </row>
    <row r="44" customFormat="false" ht="15" hidden="false" customHeight="false" outlineLevel="0" collapsed="false">
      <c r="A44" s="9" t="s">
        <v>179</v>
      </c>
      <c r="B44" s="9" t="n">
        <v>1</v>
      </c>
      <c r="C44" s="10" t="n">
        <f aca="false">$B$4+3</f>
        <v>46324</v>
      </c>
      <c r="D44" s="9" t="s">
        <v>86</v>
      </c>
      <c r="E44" s="11" t="s">
        <v>41</v>
      </c>
      <c r="F44" s="11" t="s">
        <v>42</v>
      </c>
      <c r="G44" s="9" t="s">
        <v>161</v>
      </c>
      <c r="H44" s="11" t="s">
        <v>162</v>
      </c>
      <c r="I44" s="9" t="n">
        <v>8</v>
      </c>
      <c r="J44" s="11" t="s">
        <v>180</v>
      </c>
      <c r="K44" s="11"/>
      <c r="L44" s="11"/>
      <c r="M44" s="12" t="s">
        <v>67</v>
      </c>
      <c r="N44" s="13"/>
      <c r="O44" s="13"/>
    </row>
    <row r="45" customFormat="false" ht="15" hidden="false" customHeight="false" outlineLevel="0" collapsed="false">
      <c r="A45" s="9" t="s">
        <v>181</v>
      </c>
      <c r="B45" s="9" t="n">
        <v>1</v>
      </c>
      <c r="C45" s="10" t="n">
        <f aca="false">$B$4+4</f>
        <v>46325</v>
      </c>
      <c r="D45" s="9" t="s">
        <v>93</v>
      </c>
      <c r="E45" s="11" t="s">
        <v>41</v>
      </c>
      <c r="F45" s="11" t="s">
        <v>42</v>
      </c>
      <c r="G45" s="9" t="s">
        <v>161</v>
      </c>
      <c r="H45" s="11" t="s">
        <v>162</v>
      </c>
      <c r="I45" s="9" t="n">
        <v>9</v>
      </c>
      <c r="J45" s="11" t="s">
        <v>182</v>
      </c>
      <c r="K45" s="11" t="s">
        <v>183</v>
      </c>
      <c r="L45" s="11"/>
      <c r="M45" s="12" t="s">
        <v>67</v>
      </c>
      <c r="N45" s="13"/>
      <c r="O45" s="13"/>
    </row>
    <row r="46" customFormat="false" ht="15" hidden="false" customHeight="false" outlineLevel="0" collapsed="false">
      <c r="A46" s="9" t="s">
        <v>184</v>
      </c>
      <c r="B46" s="9" t="n">
        <v>1</v>
      </c>
      <c r="C46" s="10" t="n">
        <f aca="false">$B$4+4</f>
        <v>46325</v>
      </c>
      <c r="D46" s="9" t="s">
        <v>93</v>
      </c>
      <c r="E46" s="11" t="s">
        <v>41</v>
      </c>
      <c r="F46" s="11" t="s">
        <v>42</v>
      </c>
      <c r="G46" s="9" t="s">
        <v>161</v>
      </c>
      <c r="H46" s="11" t="s">
        <v>162</v>
      </c>
      <c r="I46" s="9" t="n">
        <v>10</v>
      </c>
      <c r="J46" s="11" t="s">
        <v>185</v>
      </c>
      <c r="K46" s="11"/>
      <c r="L46" s="11"/>
      <c r="M46" s="12" t="s">
        <v>67</v>
      </c>
      <c r="N46" s="13"/>
      <c r="O46" s="13"/>
    </row>
    <row r="47" customFormat="false" ht="23.85" hidden="false" customHeight="false" outlineLevel="0" collapsed="false">
      <c r="A47" s="9" t="s">
        <v>186</v>
      </c>
      <c r="B47" s="9" t="n">
        <v>1</v>
      </c>
      <c r="C47" s="10" t="n">
        <f aca="false">$B$4+0</f>
        <v>46321</v>
      </c>
      <c r="D47" s="9" t="s">
        <v>62</v>
      </c>
      <c r="E47" s="11" t="s">
        <v>43</v>
      </c>
      <c r="F47" s="11" t="s">
        <v>44</v>
      </c>
      <c r="G47" s="9" t="s">
        <v>187</v>
      </c>
      <c r="H47" s="11" t="s">
        <v>188</v>
      </c>
      <c r="I47" s="9" t="n">
        <v>1</v>
      </c>
      <c r="J47" s="11" t="s">
        <v>189</v>
      </c>
      <c r="K47" s="11"/>
      <c r="L47" s="11"/>
      <c r="M47" s="12" t="s">
        <v>67</v>
      </c>
      <c r="N47" s="13"/>
      <c r="O47" s="13"/>
    </row>
    <row r="48" customFormat="false" ht="15" hidden="false" customHeight="false" outlineLevel="0" collapsed="false">
      <c r="A48" s="9" t="s">
        <v>190</v>
      </c>
      <c r="B48" s="9" t="n">
        <v>1</v>
      </c>
      <c r="C48" s="10" t="n">
        <f aca="false">$B$4+0</f>
        <v>46321</v>
      </c>
      <c r="D48" s="9" t="s">
        <v>62</v>
      </c>
      <c r="E48" s="11" t="s">
        <v>43</v>
      </c>
      <c r="F48" s="11" t="s">
        <v>44</v>
      </c>
      <c r="G48" s="9" t="s">
        <v>187</v>
      </c>
      <c r="H48" s="11" t="s">
        <v>188</v>
      </c>
      <c r="I48" s="9" t="n">
        <v>2</v>
      </c>
      <c r="J48" s="11" t="s">
        <v>191</v>
      </c>
      <c r="K48" s="11" t="s">
        <v>192</v>
      </c>
      <c r="L48" s="11"/>
      <c r="M48" s="12" t="s">
        <v>67</v>
      </c>
      <c r="N48" s="13"/>
      <c r="O48" s="13"/>
    </row>
    <row r="49" customFormat="false" ht="23.85" hidden="false" customHeight="false" outlineLevel="0" collapsed="false">
      <c r="A49" s="9" t="s">
        <v>193</v>
      </c>
      <c r="B49" s="9" t="n">
        <v>1</v>
      </c>
      <c r="C49" s="10" t="n">
        <f aca="false">$B$4+1</f>
        <v>46322</v>
      </c>
      <c r="D49" s="9" t="s">
        <v>72</v>
      </c>
      <c r="E49" s="11" t="s">
        <v>43</v>
      </c>
      <c r="F49" s="11" t="s">
        <v>44</v>
      </c>
      <c r="G49" s="9" t="s">
        <v>187</v>
      </c>
      <c r="H49" s="11" t="s">
        <v>188</v>
      </c>
      <c r="I49" s="9" t="n">
        <v>3</v>
      </c>
      <c r="J49" s="11" t="s">
        <v>194</v>
      </c>
      <c r="K49" s="11"/>
      <c r="L49" s="11"/>
      <c r="M49" s="12" t="s">
        <v>67</v>
      </c>
      <c r="N49" s="13"/>
      <c r="O49" s="13"/>
    </row>
    <row r="50" customFormat="false" ht="15" hidden="false" customHeight="false" outlineLevel="0" collapsed="false">
      <c r="A50" s="9" t="s">
        <v>195</v>
      </c>
      <c r="B50" s="9" t="n">
        <v>1</v>
      </c>
      <c r="C50" s="10" t="n">
        <f aca="false">$B$4+1</f>
        <v>46322</v>
      </c>
      <c r="D50" s="9" t="s">
        <v>72</v>
      </c>
      <c r="E50" s="11" t="s">
        <v>43</v>
      </c>
      <c r="F50" s="11" t="s">
        <v>44</v>
      </c>
      <c r="G50" s="9" t="s">
        <v>187</v>
      </c>
      <c r="H50" s="11" t="s">
        <v>188</v>
      </c>
      <c r="I50" s="9" t="n">
        <v>4</v>
      </c>
      <c r="J50" s="11" t="s">
        <v>196</v>
      </c>
      <c r="K50" s="11" t="s">
        <v>197</v>
      </c>
      <c r="L50" s="11"/>
      <c r="M50" s="12" t="s">
        <v>67</v>
      </c>
      <c r="N50" s="13"/>
      <c r="O50" s="13"/>
    </row>
    <row r="51" customFormat="false" ht="15" hidden="false" customHeight="false" outlineLevel="0" collapsed="false">
      <c r="A51" s="9" t="s">
        <v>198</v>
      </c>
      <c r="B51" s="9" t="n">
        <v>1</v>
      </c>
      <c r="C51" s="10" t="n">
        <f aca="false">$B$4+2</f>
        <v>46323</v>
      </c>
      <c r="D51" s="9" t="s">
        <v>79</v>
      </c>
      <c r="E51" s="11" t="s">
        <v>43</v>
      </c>
      <c r="F51" s="11" t="s">
        <v>44</v>
      </c>
      <c r="G51" s="9" t="s">
        <v>187</v>
      </c>
      <c r="H51" s="11" t="s">
        <v>188</v>
      </c>
      <c r="I51" s="9" t="n">
        <v>5</v>
      </c>
      <c r="J51" s="11" t="s">
        <v>199</v>
      </c>
      <c r="K51" s="11"/>
      <c r="L51" s="11"/>
      <c r="M51" s="12" t="s">
        <v>67</v>
      </c>
      <c r="N51" s="13"/>
      <c r="O51" s="13"/>
    </row>
    <row r="52" customFormat="false" ht="15" hidden="false" customHeight="false" outlineLevel="0" collapsed="false">
      <c r="A52" s="9" t="s">
        <v>200</v>
      </c>
      <c r="B52" s="9" t="n">
        <v>1</v>
      </c>
      <c r="C52" s="10" t="n">
        <f aca="false">$B$4+2</f>
        <v>46323</v>
      </c>
      <c r="D52" s="9" t="s">
        <v>79</v>
      </c>
      <c r="E52" s="11" t="s">
        <v>43</v>
      </c>
      <c r="F52" s="11" t="s">
        <v>44</v>
      </c>
      <c r="G52" s="9" t="s">
        <v>187</v>
      </c>
      <c r="H52" s="11" t="s">
        <v>188</v>
      </c>
      <c r="I52" s="9" t="n">
        <v>6</v>
      </c>
      <c r="J52" s="11" t="s">
        <v>201</v>
      </c>
      <c r="K52" s="11" t="s">
        <v>202</v>
      </c>
      <c r="L52" s="11"/>
      <c r="M52" s="12" t="s">
        <v>67</v>
      </c>
      <c r="N52" s="13"/>
      <c r="O52" s="13"/>
    </row>
    <row r="53" customFormat="false" ht="15" hidden="false" customHeight="false" outlineLevel="0" collapsed="false">
      <c r="A53" s="9" t="s">
        <v>203</v>
      </c>
      <c r="B53" s="9" t="n">
        <v>1</v>
      </c>
      <c r="C53" s="10" t="n">
        <f aca="false">$B$4+3</f>
        <v>46324</v>
      </c>
      <c r="D53" s="9" t="s">
        <v>86</v>
      </c>
      <c r="E53" s="11" t="s">
        <v>43</v>
      </c>
      <c r="F53" s="11" t="s">
        <v>44</v>
      </c>
      <c r="G53" s="9" t="s">
        <v>187</v>
      </c>
      <c r="H53" s="11" t="s">
        <v>188</v>
      </c>
      <c r="I53" s="9" t="n">
        <v>7</v>
      </c>
      <c r="J53" s="11" t="s">
        <v>204</v>
      </c>
      <c r="K53" s="11"/>
      <c r="L53" s="11"/>
      <c r="M53" s="12" t="s">
        <v>67</v>
      </c>
      <c r="N53" s="13"/>
      <c r="O53" s="13"/>
    </row>
    <row r="54" customFormat="false" ht="15" hidden="false" customHeight="false" outlineLevel="0" collapsed="false">
      <c r="A54" s="9" t="s">
        <v>205</v>
      </c>
      <c r="B54" s="9" t="n">
        <v>1</v>
      </c>
      <c r="C54" s="10" t="n">
        <f aca="false">$B$4+3</f>
        <v>46324</v>
      </c>
      <c r="D54" s="9" t="s">
        <v>86</v>
      </c>
      <c r="E54" s="11" t="s">
        <v>43</v>
      </c>
      <c r="F54" s="11" t="s">
        <v>44</v>
      </c>
      <c r="G54" s="9" t="s">
        <v>187</v>
      </c>
      <c r="H54" s="11" t="s">
        <v>188</v>
      </c>
      <c r="I54" s="9" t="n">
        <v>8</v>
      </c>
      <c r="J54" s="11" t="s">
        <v>206</v>
      </c>
      <c r="K54" s="11" t="s">
        <v>207</v>
      </c>
      <c r="L54" s="11"/>
      <c r="M54" s="12" t="s">
        <v>67</v>
      </c>
      <c r="N54" s="13"/>
      <c r="O54" s="13"/>
    </row>
    <row r="55" customFormat="false" ht="15" hidden="false" customHeight="false" outlineLevel="0" collapsed="false">
      <c r="A55" s="9" t="s">
        <v>208</v>
      </c>
      <c r="B55" s="9" t="n">
        <v>1</v>
      </c>
      <c r="C55" s="10" t="n">
        <f aca="false">$B$4+4</f>
        <v>46325</v>
      </c>
      <c r="D55" s="9" t="s">
        <v>93</v>
      </c>
      <c r="E55" s="11" t="s">
        <v>43</v>
      </c>
      <c r="F55" s="11" t="s">
        <v>44</v>
      </c>
      <c r="G55" s="9" t="s">
        <v>187</v>
      </c>
      <c r="H55" s="11" t="s">
        <v>188</v>
      </c>
      <c r="I55" s="9" t="n">
        <v>9</v>
      </c>
      <c r="J55" s="11" t="s">
        <v>209</v>
      </c>
      <c r="K55" s="11" t="s">
        <v>210</v>
      </c>
      <c r="L55" s="11"/>
      <c r="M55" s="12" t="s">
        <v>67</v>
      </c>
      <c r="N55" s="13"/>
      <c r="O55" s="13"/>
    </row>
    <row r="56" customFormat="false" ht="15" hidden="false" customHeight="false" outlineLevel="0" collapsed="false">
      <c r="A56" s="9" t="s">
        <v>211</v>
      </c>
      <c r="B56" s="9" t="n">
        <v>1</v>
      </c>
      <c r="C56" s="10" t="n">
        <f aca="false">$B$4+4</f>
        <v>46325</v>
      </c>
      <c r="D56" s="9" t="s">
        <v>93</v>
      </c>
      <c r="E56" s="11" t="s">
        <v>43</v>
      </c>
      <c r="F56" s="11" t="s">
        <v>44</v>
      </c>
      <c r="G56" s="9" t="s">
        <v>187</v>
      </c>
      <c r="H56" s="11" t="s">
        <v>188</v>
      </c>
      <c r="I56" s="9" t="n">
        <v>10</v>
      </c>
      <c r="J56" s="11" t="s">
        <v>212</v>
      </c>
      <c r="K56" s="11" t="s">
        <v>213</v>
      </c>
      <c r="L56" s="11"/>
      <c r="M56" s="12" t="s">
        <v>67</v>
      </c>
      <c r="N56" s="13"/>
      <c r="O56" s="13"/>
    </row>
    <row r="57" customFormat="false" ht="23.85" hidden="false" customHeight="false" outlineLevel="0" collapsed="false">
      <c r="A57" s="14" t="s">
        <v>214</v>
      </c>
      <c r="B57" s="14" t="n">
        <v>2</v>
      </c>
      <c r="C57" s="15" t="n">
        <f aca="false">$B$4+7</f>
        <v>46328</v>
      </c>
      <c r="D57" s="14" t="s">
        <v>62</v>
      </c>
      <c r="E57" s="16" t="s">
        <v>35</v>
      </c>
      <c r="F57" s="16" t="s">
        <v>36</v>
      </c>
      <c r="G57" s="14" t="s">
        <v>63</v>
      </c>
      <c r="H57" s="16" t="s">
        <v>215</v>
      </c>
      <c r="I57" s="14" t="n">
        <v>1</v>
      </c>
      <c r="J57" s="16" t="s">
        <v>216</v>
      </c>
      <c r="K57" s="16" t="s">
        <v>217</v>
      </c>
      <c r="L57" s="16"/>
      <c r="M57" s="12" t="s">
        <v>67</v>
      </c>
      <c r="N57" s="13"/>
      <c r="O57" s="13"/>
    </row>
    <row r="58" customFormat="false" ht="23.85" hidden="false" customHeight="false" outlineLevel="0" collapsed="false">
      <c r="A58" s="14" t="s">
        <v>218</v>
      </c>
      <c r="B58" s="14" t="n">
        <v>2</v>
      </c>
      <c r="C58" s="15" t="n">
        <f aca="false">$B$4+7</f>
        <v>46328</v>
      </c>
      <c r="D58" s="14" t="s">
        <v>62</v>
      </c>
      <c r="E58" s="16" t="s">
        <v>35</v>
      </c>
      <c r="F58" s="16" t="s">
        <v>36</v>
      </c>
      <c r="G58" s="14" t="s">
        <v>63</v>
      </c>
      <c r="H58" s="16" t="s">
        <v>215</v>
      </c>
      <c r="I58" s="14" t="n">
        <v>2</v>
      </c>
      <c r="J58" s="16" t="s">
        <v>219</v>
      </c>
      <c r="K58" s="16" t="s">
        <v>220</v>
      </c>
      <c r="L58" s="16"/>
      <c r="M58" s="12" t="s">
        <v>67</v>
      </c>
      <c r="N58" s="13"/>
      <c r="O58" s="13"/>
    </row>
    <row r="59" customFormat="false" ht="23.85" hidden="false" customHeight="false" outlineLevel="0" collapsed="false">
      <c r="A59" s="14" t="s">
        <v>221</v>
      </c>
      <c r="B59" s="14" t="n">
        <v>2</v>
      </c>
      <c r="C59" s="15" t="n">
        <f aca="false">$B$4+8</f>
        <v>46329</v>
      </c>
      <c r="D59" s="14" t="s">
        <v>72</v>
      </c>
      <c r="E59" s="16" t="s">
        <v>35</v>
      </c>
      <c r="F59" s="16" t="s">
        <v>36</v>
      </c>
      <c r="G59" s="14" t="s">
        <v>63</v>
      </c>
      <c r="H59" s="16" t="s">
        <v>215</v>
      </c>
      <c r="I59" s="14" t="n">
        <v>3</v>
      </c>
      <c r="J59" s="16" t="s">
        <v>222</v>
      </c>
      <c r="K59" s="16" t="s">
        <v>223</v>
      </c>
      <c r="L59" s="16" t="s">
        <v>224</v>
      </c>
      <c r="M59" s="12" t="s">
        <v>67</v>
      </c>
      <c r="N59" s="13"/>
      <c r="O59" s="13"/>
    </row>
    <row r="60" customFormat="false" ht="23.85" hidden="false" customHeight="false" outlineLevel="0" collapsed="false">
      <c r="A60" s="14" t="s">
        <v>225</v>
      </c>
      <c r="B60" s="14" t="n">
        <v>2</v>
      </c>
      <c r="C60" s="15" t="n">
        <f aca="false">$B$4+8</f>
        <v>46329</v>
      </c>
      <c r="D60" s="14" t="s">
        <v>72</v>
      </c>
      <c r="E60" s="16" t="s">
        <v>35</v>
      </c>
      <c r="F60" s="16" t="s">
        <v>36</v>
      </c>
      <c r="G60" s="14" t="s">
        <v>63</v>
      </c>
      <c r="H60" s="16" t="s">
        <v>215</v>
      </c>
      <c r="I60" s="14" t="n">
        <v>4</v>
      </c>
      <c r="J60" s="16" t="s">
        <v>226</v>
      </c>
      <c r="K60" s="16" t="s">
        <v>227</v>
      </c>
      <c r="L60" s="16"/>
      <c r="M60" s="12" t="s">
        <v>67</v>
      </c>
      <c r="N60" s="13"/>
      <c r="O60" s="13"/>
    </row>
    <row r="61" customFormat="false" ht="23.85" hidden="false" customHeight="false" outlineLevel="0" collapsed="false">
      <c r="A61" s="14" t="s">
        <v>228</v>
      </c>
      <c r="B61" s="14" t="n">
        <v>2</v>
      </c>
      <c r="C61" s="15" t="n">
        <f aca="false">$B$4+9</f>
        <v>46330</v>
      </c>
      <c r="D61" s="14" t="s">
        <v>79</v>
      </c>
      <c r="E61" s="16" t="s">
        <v>35</v>
      </c>
      <c r="F61" s="16" t="s">
        <v>36</v>
      </c>
      <c r="G61" s="14" t="s">
        <v>63</v>
      </c>
      <c r="H61" s="16" t="s">
        <v>215</v>
      </c>
      <c r="I61" s="14" t="n">
        <v>5</v>
      </c>
      <c r="J61" s="16" t="s">
        <v>229</v>
      </c>
      <c r="K61" s="16" t="s">
        <v>230</v>
      </c>
      <c r="L61" s="16"/>
      <c r="M61" s="12" t="s">
        <v>67</v>
      </c>
      <c r="N61" s="13"/>
      <c r="O61" s="13"/>
    </row>
    <row r="62" customFormat="false" ht="23.85" hidden="false" customHeight="false" outlineLevel="0" collapsed="false">
      <c r="A62" s="14" t="s">
        <v>231</v>
      </c>
      <c r="B62" s="14" t="n">
        <v>2</v>
      </c>
      <c r="C62" s="15" t="n">
        <f aca="false">$B$4+9</f>
        <v>46330</v>
      </c>
      <c r="D62" s="14" t="s">
        <v>79</v>
      </c>
      <c r="E62" s="16" t="s">
        <v>35</v>
      </c>
      <c r="F62" s="16" t="s">
        <v>36</v>
      </c>
      <c r="G62" s="14" t="s">
        <v>63</v>
      </c>
      <c r="H62" s="16" t="s">
        <v>215</v>
      </c>
      <c r="I62" s="14" t="n">
        <v>6</v>
      </c>
      <c r="J62" s="16" t="s">
        <v>232</v>
      </c>
      <c r="K62" s="16" t="s">
        <v>233</v>
      </c>
      <c r="L62" s="16" t="s">
        <v>234</v>
      </c>
      <c r="M62" s="12" t="s">
        <v>67</v>
      </c>
      <c r="N62" s="13"/>
      <c r="O62" s="13"/>
    </row>
    <row r="63" customFormat="false" ht="23.85" hidden="false" customHeight="false" outlineLevel="0" collapsed="false">
      <c r="A63" s="14" t="s">
        <v>235</v>
      </c>
      <c r="B63" s="14" t="n">
        <v>2</v>
      </c>
      <c r="C63" s="15" t="n">
        <f aca="false">$B$4+10</f>
        <v>46331</v>
      </c>
      <c r="D63" s="14" t="s">
        <v>86</v>
      </c>
      <c r="E63" s="16" t="s">
        <v>35</v>
      </c>
      <c r="F63" s="16" t="s">
        <v>36</v>
      </c>
      <c r="G63" s="14" t="s">
        <v>63</v>
      </c>
      <c r="H63" s="16" t="s">
        <v>215</v>
      </c>
      <c r="I63" s="14" t="n">
        <v>7</v>
      </c>
      <c r="J63" s="16" t="s">
        <v>236</v>
      </c>
      <c r="K63" s="16" t="s">
        <v>237</v>
      </c>
      <c r="L63" s="16"/>
      <c r="M63" s="12" t="s">
        <v>67</v>
      </c>
      <c r="N63" s="13"/>
      <c r="O63" s="13"/>
    </row>
    <row r="64" customFormat="false" ht="23.85" hidden="false" customHeight="false" outlineLevel="0" collapsed="false">
      <c r="A64" s="14" t="s">
        <v>238</v>
      </c>
      <c r="B64" s="14" t="n">
        <v>2</v>
      </c>
      <c r="C64" s="15" t="n">
        <f aca="false">$B$4+10</f>
        <v>46331</v>
      </c>
      <c r="D64" s="14" t="s">
        <v>86</v>
      </c>
      <c r="E64" s="16" t="s">
        <v>35</v>
      </c>
      <c r="F64" s="16" t="s">
        <v>36</v>
      </c>
      <c r="G64" s="14" t="s">
        <v>63</v>
      </c>
      <c r="H64" s="16" t="s">
        <v>215</v>
      </c>
      <c r="I64" s="14" t="n">
        <v>8</v>
      </c>
      <c r="J64" s="16" t="s">
        <v>239</v>
      </c>
      <c r="K64" s="16" t="s">
        <v>240</v>
      </c>
      <c r="L64" s="16"/>
      <c r="M64" s="12" t="s">
        <v>67</v>
      </c>
      <c r="N64" s="13"/>
      <c r="O64" s="13"/>
    </row>
    <row r="65" customFormat="false" ht="23.85" hidden="false" customHeight="false" outlineLevel="0" collapsed="false">
      <c r="A65" s="14" t="s">
        <v>241</v>
      </c>
      <c r="B65" s="14" t="n">
        <v>2</v>
      </c>
      <c r="C65" s="15" t="n">
        <f aca="false">$B$4+11</f>
        <v>46332</v>
      </c>
      <c r="D65" s="14" t="s">
        <v>93</v>
      </c>
      <c r="E65" s="16" t="s">
        <v>35</v>
      </c>
      <c r="F65" s="16" t="s">
        <v>36</v>
      </c>
      <c r="G65" s="14" t="s">
        <v>63</v>
      </c>
      <c r="H65" s="16" t="s">
        <v>215</v>
      </c>
      <c r="I65" s="14" t="n">
        <v>9</v>
      </c>
      <c r="J65" s="16" t="s">
        <v>242</v>
      </c>
      <c r="K65" s="16" t="s">
        <v>243</v>
      </c>
      <c r="L65" s="16" t="s">
        <v>244</v>
      </c>
      <c r="M65" s="12" t="s">
        <v>67</v>
      </c>
      <c r="N65" s="13"/>
      <c r="O65" s="13"/>
    </row>
    <row r="66" customFormat="false" ht="23.85" hidden="false" customHeight="false" outlineLevel="0" collapsed="false">
      <c r="A66" s="14" t="s">
        <v>245</v>
      </c>
      <c r="B66" s="14" t="n">
        <v>2</v>
      </c>
      <c r="C66" s="15" t="n">
        <f aca="false">$B$4+11</f>
        <v>46332</v>
      </c>
      <c r="D66" s="14" t="s">
        <v>93</v>
      </c>
      <c r="E66" s="16" t="s">
        <v>35</v>
      </c>
      <c r="F66" s="16" t="s">
        <v>36</v>
      </c>
      <c r="G66" s="14" t="s">
        <v>63</v>
      </c>
      <c r="H66" s="16" t="s">
        <v>215</v>
      </c>
      <c r="I66" s="14" t="n">
        <v>10</v>
      </c>
      <c r="J66" s="16" t="s">
        <v>246</v>
      </c>
      <c r="K66" s="16" t="s">
        <v>247</v>
      </c>
      <c r="L66" s="16"/>
      <c r="M66" s="12" t="s">
        <v>67</v>
      </c>
      <c r="N66" s="13"/>
      <c r="O66" s="13"/>
    </row>
    <row r="67" customFormat="false" ht="15" hidden="false" customHeight="false" outlineLevel="0" collapsed="false">
      <c r="A67" s="14" t="s">
        <v>248</v>
      </c>
      <c r="B67" s="14" t="n">
        <v>2</v>
      </c>
      <c r="C67" s="15" t="n">
        <f aca="false">$B$4+7</f>
        <v>46328</v>
      </c>
      <c r="D67" s="14" t="s">
        <v>62</v>
      </c>
      <c r="E67" s="16" t="s">
        <v>37</v>
      </c>
      <c r="F67" s="16" t="s">
        <v>38</v>
      </c>
      <c r="G67" s="14" t="s">
        <v>187</v>
      </c>
      <c r="H67" s="16" t="s">
        <v>249</v>
      </c>
      <c r="I67" s="14" t="n">
        <v>1</v>
      </c>
      <c r="J67" s="16" t="s">
        <v>250</v>
      </c>
      <c r="K67" s="16" t="s">
        <v>251</v>
      </c>
      <c r="L67" s="16"/>
      <c r="M67" s="12" t="s">
        <v>67</v>
      </c>
      <c r="N67" s="13"/>
      <c r="O67" s="13"/>
    </row>
    <row r="68" customFormat="false" ht="15" hidden="false" customHeight="false" outlineLevel="0" collapsed="false">
      <c r="A68" s="14" t="s">
        <v>252</v>
      </c>
      <c r="B68" s="14" t="n">
        <v>2</v>
      </c>
      <c r="C68" s="15" t="n">
        <f aca="false">$B$4+7</f>
        <v>46328</v>
      </c>
      <c r="D68" s="14" t="s">
        <v>62</v>
      </c>
      <c r="E68" s="16" t="s">
        <v>37</v>
      </c>
      <c r="F68" s="16" t="s">
        <v>38</v>
      </c>
      <c r="G68" s="14" t="s">
        <v>187</v>
      </c>
      <c r="H68" s="16" t="s">
        <v>249</v>
      </c>
      <c r="I68" s="14" t="n">
        <v>2</v>
      </c>
      <c r="J68" s="16" t="s">
        <v>253</v>
      </c>
      <c r="K68" s="16" t="s">
        <v>254</v>
      </c>
      <c r="L68" s="16"/>
      <c r="M68" s="12" t="s">
        <v>67</v>
      </c>
      <c r="N68" s="13"/>
      <c r="O68" s="13"/>
    </row>
    <row r="69" customFormat="false" ht="15" hidden="false" customHeight="false" outlineLevel="0" collapsed="false">
      <c r="A69" s="14" t="s">
        <v>255</v>
      </c>
      <c r="B69" s="14" t="n">
        <v>2</v>
      </c>
      <c r="C69" s="15" t="n">
        <f aca="false">$B$4+8</f>
        <v>46329</v>
      </c>
      <c r="D69" s="14" t="s">
        <v>72</v>
      </c>
      <c r="E69" s="16" t="s">
        <v>37</v>
      </c>
      <c r="F69" s="16" t="s">
        <v>38</v>
      </c>
      <c r="G69" s="14" t="s">
        <v>187</v>
      </c>
      <c r="H69" s="16" t="s">
        <v>249</v>
      </c>
      <c r="I69" s="14" t="n">
        <v>3</v>
      </c>
      <c r="J69" s="16" t="s">
        <v>256</v>
      </c>
      <c r="K69" s="16" t="s">
        <v>257</v>
      </c>
      <c r="L69" s="16"/>
      <c r="M69" s="12" t="s">
        <v>67</v>
      </c>
      <c r="N69" s="13"/>
      <c r="O69" s="13"/>
    </row>
    <row r="70" customFormat="false" ht="15" hidden="false" customHeight="false" outlineLevel="0" collapsed="false">
      <c r="A70" s="14" t="s">
        <v>258</v>
      </c>
      <c r="B70" s="14" t="n">
        <v>2</v>
      </c>
      <c r="C70" s="15" t="n">
        <f aca="false">$B$4+8</f>
        <v>46329</v>
      </c>
      <c r="D70" s="14" t="s">
        <v>72</v>
      </c>
      <c r="E70" s="16" t="s">
        <v>37</v>
      </c>
      <c r="F70" s="16" t="s">
        <v>38</v>
      </c>
      <c r="G70" s="14" t="s">
        <v>187</v>
      </c>
      <c r="H70" s="16" t="s">
        <v>249</v>
      </c>
      <c r="I70" s="14" t="n">
        <v>4</v>
      </c>
      <c r="J70" s="16" t="s">
        <v>259</v>
      </c>
      <c r="K70" s="16" t="s">
        <v>260</v>
      </c>
      <c r="L70" s="16"/>
      <c r="M70" s="12" t="s">
        <v>67</v>
      </c>
      <c r="N70" s="13"/>
      <c r="O70" s="13"/>
    </row>
    <row r="71" customFormat="false" ht="15" hidden="false" customHeight="false" outlineLevel="0" collapsed="false">
      <c r="A71" s="14" t="s">
        <v>261</v>
      </c>
      <c r="B71" s="14" t="n">
        <v>2</v>
      </c>
      <c r="C71" s="15" t="n">
        <f aca="false">$B$4+9</f>
        <v>46330</v>
      </c>
      <c r="D71" s="14" t="s">
        <v>79</v>
      </c>
      <c r="E71" s="16" t="s">
        <v>37</v>
      </c>
      <c r="F71" s="16" t="s">
        <v>38</v>
      </c>
      <c r="G71" s="14" t="s">
        <v>187</v>
      </c>
      <c r="H71" s="16" t="s">
        <v>249</v>
      </c>
      <c r="I71" s="14" t="n">
        <v>5</v>
      </c>
      <c r="J71" s="16" t="s">
        <v>262</v>
      </c>
      <c r="K71" s="16" t="s">
        <v>263</v>
      </c>
      <c r="L71" s="16"/>
      <c r="M71" s="12" t="s">
        <v>67</v>
      </c>
      <c r="N71" s="13"/>
      <c r="O71" s="13"/>
    </row>
    <row r="72" customFormat="false" ht="15" hidden="false" customHeight="false" outlineLevel="0" collapsed="false">
      <c r="A72" s="14" t="s">
        <v>264</v>
      </c>
      <c r="B72" s="14" t="n">
        <v>2</v>
      </c>
      <c r="C72" s="15" t="n">
        <f aca="false">$B$4+9</f>
        <v>46330</v>
      </c>
      <c r="D72" s="14" t="s">
        <v>79</v>
      </c>
      <c r="E72" s="16" t="s">
        <v>37</v>
      </c>
      <c r="F72" s="16" t="s">
        <v>38</v>
      </c>
      <c r="G72" s="14" t="s">
        <v>187</v>
      </c>
      <c r="H72" s="16" t="s">
        <v>249</v>
      </c>
      <c r="I72" s="14" t="n">
        <v>6</v>
      </c>
      <c r="J72" s="16" t="s">
        <v>265</v>
      </c>
      <c r="K72" s="16" t="s">
        <v>266</v>
      </c>
      <c r="L72" s="16"/>
      <c r="M72" s="12" t="s">
        <v>67</v>
      </c>
      <c r="N72" s="13"/>
      <c r="O72" s="13"/>
    </row>
    <row r="73" customFormat="false" ht="15" hidden="false" customHeight="false" outlineLevel="0" collapsed="false">
      <c r="A73" s="14" t="s">
        <v>267</v>
      </c>
      <c r="B73" s="14" t="n">
        <v>2</v>
      </c>
      <c r="C73" s="15" t="n">
        <f aca="false">$B$4+10</f>
        <v>46331</v>
      </c>
      <c r="D73" s="14" t="s">
        <v>86</v>
      </c>
      <c r="E73" s="16" t="s">
        <v>37</v>
      </c>
      <c r="F73" s="16" t="s">
        <v>38</v>
      </c>
      <c r="G73" s="14" t="s">
        <v>187</v>
      </c>
      <c r="H73" s="16" t="s">
        <v>249</v>
      </c>
      <c r="I73" s="14" t="n">
        <v>7</v>
      </c>
      <c r="J73" s="16" t="s">
        <v>268</v>
      </c>
      <c r="K73" s="16" t="s">
        <v>269</v>
      </c>
      <c r="L73" s="16"/>
      <c r="M73" s="12" t="s">
        <v>67</v>
      </c>
      <c r="N73" s="13"/>
      <c r="O73" s="13"/>
    </row>
    <row r="74" customFormat="false" ht="15" hidden="false" customHeight="false" outlineLevel="0" collapsed="false">
      <c r="A74" s="14" t="s">
        <v>270</v>
      </c>
      <c r="B74" s="14" t="n">
        <v>2</v>
      </c>
      <c r="C74" s="15" t="n">
        <f aca="false">$B$4+10</f>
        <v>46331</v>
      </c>
      <c r="D74" s="14" t="s">
        <v>86</v>
      </c>
      <c r="E74" s="16" t="s">
        <v>37</v>
      </c>
      <c r="F74" s="16" t="s">
        <v>38</v>
      </c>
      <c r="G74" s="14" t="s">
        <v>187</v>
      </c>
      <c r="H74" s="16" t="s">
        <v>249</v>
      </c>
      <c r="I74" s="14" t="n">
        <v>8</v>
      </c>
      <c r="J74" s="16" t="s">
        <v>271</v>
      </c>
      <c r="K74" s="16" t="s">
        <v>272</v>
      </c>
      <c r="L74" s="16"/>
      <c r="M74" s="12" t="s">
        <v>67</v>
      </c>
      <c r="N74" s="13"/>
      <c r="O74" s="13"/>
    </row>
    <row r="75" customFormat="false" ht="23.85" hidden="false" customHeight="false" outlineLevel="0" collapsed="false">
      <c r="A75" s="14" t="s">
        <v>273</v>
      </c>
      <c r="B75" s="14" t="n">
        <v>2</v>
      </c>
      <c r="C75" s="15" t="n">
        <f aca="false">$B$4+11</f>
        <v>46332</v>
      </c>
      <c r="D75" s="14" t="s">
        <v>93</v>
      </c>
      <c r="E75" s="16" t="s">
        <v>37</v>
      </c>
      <c r="F75" s="16" t="s">
        <v>38</v>
      </c>
      <c r="G75" s="14" t="s">
        <v>187</v>
      </c>
      <c r="H75" s="16" t="s">
        <v>249</v>
      </c>
      <c r="I75" s="14" t="n">
        <v>9</v>
      </c>
      <c r="J75" s="16" t="s">
        <v>274</v>
      </c>
      <c r="K75" s="16" t="s">
        <v>275</v>
      </c>
      <c r="L75" s="16"/>
      <c r="M75" s="12" t="s">
        <v>67</v>
      </c>
      <c r="N75" s="13"/>
      <c r="O75" s="13"/>
    </row>
    <row r="76" customFormat="false" ht="23.85" hidden="false" customHeight="false" outlineLevel="0" collapsed="false">
      <c r="A76" s="14" t="s">
        <v>276</v>
      </c>
      <c r="B76" s="14" t="n">
        <v>2</v>
      </c>
      <c r="C76" s="15" t="n">
        <f aca="false">$B$4+11</f>
        <v>46332</v>
      </c>
      <c r="D76" s="14" t="s">
        <v>93</v>
      </c>
      <c r="E76" s="16" t="s">
        <v>37</v>
      </c>
      <c r="F76" s="16" t="s">
        <v>38</v>
      </c>
      <c r="G76" s="14" t="s">
        <v>187</v>
      </c>
      <c r="H76" s="16" t="s">
        <v>249</v>
      </c>
      <c r="I76" s="14" t="n">
        <v>10</v>
      </c>
      <c r="J76" s="16" t="s">
        <v>277</v>
      </c>
      <c r="K76" s="16" t="s">
        <v>278</v>
      </c>
      <c r="L76" s="16"/>
      <c r="M76" s="12" t="s">
        <v>67</v>
      </c>
      <c r="N76" s="13"/>
      <c r="O76" s="13"/>
    </row>
    <row r="77" customFormat="false" ht="15" hidden="false" customHeight="false" outlineLevel="0" collapsed="false">
      <c r="A77" s="14" t="s">
        <v>279</v>
      </c>
      <c r="B77" s="14" t="n">
        <v>2</v>
      </c>
      <c r="C77" s="15" t="n">
        <f aca="false">$B$4+7</f>
        <v>46328</v>
      </c>
      <c r="D77" s="14" t="s">
        <v>62</v>
      </c>
      <c r="E77" s="16" t="s">
        <v>39</v>
      </c>
      <c r="F77" s="16" t="s">
        <v>40</v>
      </c>
      <c r="G77" s="14" t="s">
        <v>134</v>
      </c>
      <c r="H77" s="16" t="s">
        <v>280</v>
      </c>
      <c r="I77" s="14" t="n">
        <v>1</v>
      </c>
      <c r="J77" s="16" t="s">
        <v>281</v>
      </c>
      <c r="K77" s="16" t="s">
        <v>282</v>
      </c>
      <c r="L77" s="16"/>
      <c r="M77" s="12" t="s">
        <v>67</v>
      </c>
      <c r="N77" s="13"/>
      <c r="O77" s="13"/>
    </row>
    <row r="78" customFormat="false" ht="15" hidden="false" customHeight="false" outlineLevel="0" collapsed="false">
      <c r="A78" s="14" t="s">
        <v>283</v>
      </c>
      <c r="B78" s="14" t="n">
        <v>2</v>
      </c>
      <c r="C78" s="15" t="n">
        <f aca="false">$B$4+7</f>
        <v>46328</v>
      </c>
      <c r="D78" s="14" t="s">
        <v>62</v>
      </c>
      <c r="E78" s="16" t="s">
        <v>39</v>
      </c>
      <c r="F78" s="16" t="s">
        <v>40</v>
      </c>
      <c r="G78" s="14" t="s">
        <v>134</v>
      </c>
      <c r="H78" s="16" t="s">
        <v>280</v>
      </c>
      <c r="I78" s="14" t="n">
        <v>2</v>
      </c>
      <c r="J78" s="16" t="s">
        <v>284</v>
      </c>
      <c r="K78" s="16" t="s">
        <v>285</v>
      </c>
      <c r="L78" s="16"/>
      <c r="M78" s="12" t="s">
        <v>67</v>
      </c>
      <c r="N78" s="13"/>
      <c r="O78" s="13"/>
    </row>
    <row r="79" customFormat="false" ht="15" hidden="false" customHeight="false" outlineLevel="0" collapsed="false">
      <c r="A79" s="14" t="s">
        <v>286</v>
      </c>
      <c r="B79" s="14" t="n">
        <v>2</v>
      </c>
      <c r="C79" s="15" t="n">
        <f aca="false">$B$4+8</f>
        <v>46329</v>
      </c>
      <c r="D79" s="14" t="s">
        <v>72</v>
      </c>
      <c r="E79" s="16" t="s">
        <v>39</v>
      </c>
      <c r="F79" s="16" t="s">
        <v>40</v>
      </c>
      <c r="G79" s="14" t="s">
        <v>134</v>
      </c>
      <c r="H79" s="16" t="s">
        <v>280</v>
      </c>
      <c r="I79" s="14" t="n">
        <v>3</v>
      </c>
      <c r="J79" s="16" t="s">
        <v>287</v>
      </c>
      <c r="K79" s="16"/>
      <c r="L79" s="16"/>
      <c r="M79" s="12" t="s">
        <v>67</v>
      </c>
      <c r="N79" s="13"/>
      <c r="O79" s="13"/>
    </row>
    <row r="80" customFormat="false" ht="15" hidden="false" customHeight="false" outlineLevel="0" collapsed="false">
      <c r="A80" s="14" t="s">
        <v>288</v>
      </c>
      <c r="B80" s="14" t="n">
        <v>2</v>
      </c>
      <c r="C80" s="15" t="n">
        <f aca="false">$B$4+8</f>
        <v>46329</v>
      </c>
      <c r="D80" s="14" t="s">
        <v>72</v>
      </c>
      <c r="E80" s="16" t="s">
        <v>39</v>
      </c>
      <c r="F80" s="16" t="s">
        <v>40</v>
      </c>
      <c r="G80" s="14" t="s">
        <v>134</v>
      </c>
      <c r="H80" s="16" t="s">
        <v>280</v>
      </c>
      <c r="I80" s="14" t="n">
        <v>4</v>
      </c>
      <c r="J80" s="16" t="s">
        <v>289</v>
      </c>
      <c r="K80" s="16"/>
      <c r="L80" s="16"/>
      <c r="M80" s="12" t="s">
        <v>67</v>
      </c>
      <c r="N80" s="13"/>
      <c r="O80" s="13"/>
    </row>
    <row r="81" customFormat="false" ht="15" hidden="false" customHeight="false" outlineLevel="0" collapsed="false">
      <c r="A81" s="14" t="s">
        <v>290</v>
      </c>
      <c r="B81" s="14" t="n">
        <v>2</v>
      </c>
      <c r="C81" s="15" t="n">
        <f aca="false">$B$4+9</f>
        <v>46330</v>
      </c>
      <c r="D81" s="14" t="s">
        <v>79</v>
      </c>
      <c r="E81" s="16" t="s">
        <v>39</v>
      </c>
      <c r="F81" s="16" t="s">
        <v>40</v>
      </c>
      <c r="G81" s="14" t="s">
        <v>134</v>
      </c>
      <c r="H81" s="16" t="s">
        <v>280</v>
      </c>
      <c r="I81" s="14" t="n">
        <v>5</v>
      </c>
      <c r="J81" s="16" t="s">
        <v>291</v>
      </c>
      <c r="K81" s="16" t="s">
        <v>292</v>
      </c>
      <c r="L81" s="16"/>
      <c r="M81" s="12" t="s">
        <v>67</v>
      </c>
      <c r="N81" s="13"/>
      <c r="O81" s="13"/>
    </row>
    <row r="82" customFormat="false" ht="15" hidden="false" customHeight="false" outlineLevel="0" collapsed="false">
      <c r="A82" s="14" t="s">
        <v>293</v>
      </c>
      <c r="B82" s="14" t="n">
        <v>2</v>
      </c>
      <c r="C82" s="15" t="n">
        <f aca="false">$B$4+9</f>
        <v>46330</v>
      </c>
      <c r="D82" s="14" t="s">
        <v>79</v>
      </c>
      <c r="E82" s="16" t="s">
        <v>39</v>
      </c>
      <c r="F82" s="16" t="s">
        <v>40</v>
      </c>
      <c r="G82" s="14" t="s">
        <v>134</v>
      </c>
      <c r="H82" s="16" t="s">
        <v>280</v>
      </c>
      <c r="I82" s="14" t="n">
        <v>6</v>
      </c>
      <c r="J82" s="16" t="s">
        <v>294</v>
      </c>
      <c r="K82" s="16"/>
      <c r="L82" s="16"/>
      <c r="M82" s="12" t="s">
        <v>67</v>
      </c>
      <c r="N82" s="13"/>
      <c r="O82" s="13"/>
    </row>
    <row r="83" customFormat="false" ht="15" hidden="false" customHeight="false" outlineLevel="0" collapsed="false">
      <c r="A83" s="14" t="s">
        <v>295</v>
      </c>
      <c r="B83" s="14" t="n">
        <v>2</v>
      </c>
      <c r="C83" s="15" t="n">
        <f aca="false">$B$4+10</f>
        <v>46331</v>
      </c>
      <c r="D83" s="14" t="s">
        <v>86</v>
      </c>
      <c r="E83" s="16" t="s">
        <v>39</v>
      </c>
      <c r="F83" s="16" t="s">
        <v>40</v>
      </c>
      <c r="G83" s="14" t="s">
        <v>134</v>
      </c>
      <c r="H83" s="16" t="s">
        <v>280</v>
      </c>
      <c r="I83" s="14" t="n">
        <v>7</v>
      </c>
      <c r="J83" s="16" t="s">
        <v>296</v>
      </c>
      <c r="K83" s="16" t="s">
        <v>297</v>
      </c>
      <c r="L83" s="16"/>
      <c r="M83" s="12" t="s">
        <v>67</v>
      </c>
      <c r="N83" s="13"/>
      <c r="O83" s="13"/>
    </row>
    <row r="84" customFormat="false" ht="15" hidden="false" customHeight="false" outlineLevel="0" collapsed="false">
      <c r="A84" s="14" t="s">
        <v>298</v>
      </c>
      <c r="B84" s="14" t="n">
        <v>2</v>
      </c>
      <c r="C84" s="15" t="n">
        <f aca="false">$B$4+10</f>
        <v>46331</v>
      </c>
      <c r="D84" s="14" t="s">
        <v>86</v>
      </c>
      <c r="E84" s="16" t="s">
        <v>39</v>
      </c>
      <c r="F84" s="16" t="s">
        <v>40</v>
      </c>
      <c r="G84" s="14" t="s">
        <v>134</v>
      </c>
      <c r="H84" s="16" t="s">
        <v>280</v>
      </c>
      <c r="I84" s="14" t="n">
        <v>8</v>
      </c>
      <c r="J84" s="16" t="s">
        <v>299</v>
      </c>
      <c r="K84" s="16"/>
      <c r="L84" s="16"/>
      <c r="M84" s="12" t="s">
        <v>67</v>
      </c>
      <c r="N84" s="13"/>
      <c r="O84" s="13"/>
    </row>
    <row r="85" customFormat="false" ht="15" hidden="false" customHeight="false" outlineLevel="0" collapsed="false">
      <c r="A85" s="14" t="s">
        <v>300</v>
      </c>
      <c r="B85" s="14" t="n">
        <v>2</v>
      </c>
      <c r="C85" s="15" t="n">
        <f aca="false">$B$4+11</f>
        <v>46332</v>
      </c>
      <c r="D85" s="14" t="s">
        <v>93</v>
      </c>
      <c r="E85" s="16" t="s">
        <v>39</v>
      </c>
      <c r="F85" s="16" t="s">
        <v>40</v>
      </c>
      <c r="G85" s="14" t="s">
        <v>134</v>
      </c>
      <c r="H85" s="16" t="s">
        <v>280</v>
      </c>
      <c r="I85" s="14" t="n">
        <v>9</v>
      </c>
      <c r="J85" s="16" t="s">
        <v>301</v>
      </c>
      <c r="K85" s="16" t="s">
        <v>302</v>
      </c>
      <c r="L85" s="16"/>
      <c r="M85" s="12" t="s">
        <v>67</v>
      </c>
      <c r="N85" s="13"/>
      <c r="O85" s="13"/>
    </row>
    <row r="86" customFormat="false" ht="15" hidden="false" customHeight="false" outlineLevel="0" collapsed="false">
      <c r="A86" s="14" t="s">
        <v>303</v>
      </c>
      <c r="B86" s="14" t="n">
        <v>2</v>
      </c>
      <c r="C86" s="15" t="n">
        <f aca="false">$B$4+11</f>
        <v>46332</v>
      </c>
      <c r="D86" s="14" t="s">
        <v>93</v>
      </c>
      <c r="E86" s="16" t="s">
        <v>39</v>
      </c>
      <c r="F86" s="16" t="s">
        <v>40</v>
      </c>
      <c r="G86" s="14" t="s">
        <v>134</v>
      </c>
      <c r="H86" s="16" t="s">
        <v>280</v>
      </c>
      <c r="I86" s="14" t="n">
        <v>10</v>
      </c>
      <c r="J86" s="16" t="s">
        <v>304</v>
      </c>
      <c r="K86" s="16"/>
      <c r="L86" s="16"/>
      <c r="M86" s="12" t="s">
        <v>67</v>
      </c>
      <c r="N86" s="13"/>
      <c r="O86" s="13"/>
    </row>
    <row r="87" customFormat="false" ht="15" hidden="false" customHeight="false" outlineLevel="0" collapsed="false">
      <c r="A87" s="14" t="s">
        <v>305</v>
      </c>
      <c r="B87" s="14" t="n">
        <v>2</v>
      </c>
      <c r="C87" s="15" t="n">
        <f aca="false">$B$4+7</f>
        <v>46328</v>
      </c>
      <c r="D87" s="14" t="s">
        <v>62</v>
      </c>
      <c r="E87" s="16" t="s">
        <v>41</v>
      </c>
      <c r="F87" s="16" t="s">
        <v>42</v>
      </c>
      <c r="G87" s="14" t="s">
        <v>306</v>
      </c>
      <c r="H87" s="16" t="s">
        <v>307</v>
      </c>
      <c r="I87" s="14" t="n">
        <v>1</v>
      </c>
      <c r="J87" s="16" t="s">
        <v>308</v>
      </c>
      <c r="K87" s="16"/>
      <c r="L87" s="16"/>
      <c r="M87" s="12" t="s">
        <v>67</v>
      </c>
      <c r="N87" s="13"/>
      <c r="O87" s="13"/>
    </row>
    <row r="88" customFormat="false" ht="15" hidden="false" customHeight="false" outlineLevel="0" collapsed="false">
      <c r="A88" s="14" t="s">
        <v>309</v>
      </c>
      <c r="B88" s="14" t="n">
        <v>2</v>
      </c>
      <c r="C88" s="15" t="n">
        <f aca="false">$B$4+7</f>
        <v>46328</v>
      </c>
      <c r="D88" s="14" t="s">
        <v>62</v>
      </c>
      <c r="E88" s="16" t="s">
        <v>41</v>
      </c>
      <c r="F88" s="16" t="s">
        <v>42</v>
      </c>
      <c r="G88" s="14" t="s">
        <v>306</v>
      </c>
      <c r="H88" s="16" t="s">
        <v>307</v>
      </c>
      <c r="I88" s="14" t="n">
        <v>2</v>
      </c>
      <c r="J88" s="16" t="s">
        <v>310</v>
      </c>
      <c r="K88" s="16" t="s">
        <v>311</v>
      </c>
      <c r="L88" s="16"/>
      <c r="M88" s="12" t="s">
        <v>67</v>
      </c>
      <c r="N88" s="13"/>
      <c r="O88" s="13"/>
    </row>
    <row r="89" customFormat="false" ht="15" hidden="false" customHeight="false" outlineLevel="0" collapsed="false">
      <c r="A89" s="14" t="s">
        <v>312</v>
      </c>
      <c r="B89" s="14" t="n">
        <v>2</v>
      </c>
      <c r="C89" s="15" t="n">
        <f aca="false">$B$4+8</f>
        <v>46329</v>
      </c>
      <c r="D89" s="14" t="s">
        <v>72</v>
      </c>
      <c r="E89" s="16" t="s">
        <v>41</v>
      </c>
      <c r="F89" s="16" t="s">
        <v>42</v>
      </c>
      <c r="G89" s="14" t="s">
        <v>306</v>
      </c>
      <c r="H89" s="16" t="s">
        <v>307</v>
      </c>
      <c r="I89" s="14" t="n">
        <v>3</v>
      </c>
      <c r="J89" s="16" t="s">
        <v>313</v>
      </c>
      <c r="K89" s="16" t="s">
        <v>314</v>
      </c>
      <c r="L89" s="16"/>
      <c r="M89" s="12" t="s">
        <v>67</v>
      </c>
      <c r="N89" s="13"/>
      <c r="O89" s="13"/>
    </row>
    <row r="90" customFormat="false" ht="15" hidden="false" customHeight="false" outlineLevel="0" collapsed="false">
      <c r="A90" s="14" t="s">
        <v>315</v>
      </c>
      <c r="B90" s="14" t="n">
        <v>2</v>
      </c>
      <c r="C90" s="15" t="n">
        <f aca="false">$B$4+8</f>
        <v>46329</v>
      </c>
      <c r="D90" s="14" t="s">
        <v>72</v>
      </c>
      <c r="E90" s="16" t="s">
        <v>41</v>
      </c>
      <c r="F90" s="16" t="s">
        <v>42</v>
      </c>
      <c r="G90" s="14" t="s">
        <v>306</v>
      </c>
      <c r="H90" s="16" t="s">
        <v>307</v>
      </c>
      <c r="I90" s="14" t="n">
        <v>4</v>
      </c>
      <c r="J90" s="16" t="s">
        <v>316</v>
      </c>
      <c r="K90" s="16" t="s">
        <v>317</v>
      </c>
      <c r="L90" s="16"/>
      <c r="M90" s="12" t="s">
        <v>67</v>
      </c>
      <c r="N90" s="13"/>
      <c r="O90" s="13"/>
    </row>
    <row r="91" customFormat="false" ht="15" hidden="false" customHeight="false" outlineLevel="0" collapsed="false">
      <c r="A91" s="14" t="s">
        <v>318</v>
      </c>
      <c r="B91" s="14" t="n">
        <v>2</v>
      </c>
      <c r="C91" s="15" t="n">
        <f aca="false">$B$4+9</f>
        <v>46330</v>
      </c>
      <c r="D91" s="14" t="s">
        <v>79</v>
      </c>
      <c r="E91" s="16" t="s">
        <v>41</v>
      </c>
      <c r="F91" s="16" t="s">
        <v>42</v>
      </c>
      <c r="G91" s="14" t="s">
        <v>306</v>
      </c>
      <c r="H91" s="16" t="s">
        <v>307</v>
      </c>
      <c r="I91" s="14" t="n">
        <v>5</v>
      </c>
      <c r="J91" s="16" t="s">
        <v>319</v>
      </c>
      <c r="K91" s="16"/>
      <c r="L91" s="16" t="s">
        <v>320</v>
      </c>
      <c r="M91" s="12" t="s">
        <v>67</v>
      </c>
      <c r="N91" s="13"/>
      <c r="O91" s="13"/>
    </row>
    <row r="92" customFormat="false" ht="15" hidden="false" customHeight="false" outlineLevel="0" collapsed="false">
      <c r="A92" s="14" t="s">
        <v>321</v>
      </c>
      <c r="B92" s="14" t="n">
        <v>2</v>
      </c>
      <c r="C92" s="15" t="n">
        <f aca="false">$B$4+9</f>
        <v>46330</v>
      </c>
      <c r="D92" s="14" t="s">
        <v>79</v>
      </c>
      <c r="E92" s="16" t="s">
        <v>41</v>
      </c>
      <c r="F92" s="16" t="s">
        <v>42</v>
      </c>
      <c r="G92" s="14" t="s">
        <v>306</v>
      </c>
      <c r="H92" s="16" t="s">
        <v>307</v>
      </c>
      <c r="I92" s="14" t="n">
        <v>6</v>
      </c>
      <c r="J92" s="16" t="s">
        <v>322</v>
      </c>
      <c r="K92" s="16"/>
      <c r="L92" s="16"/>
      <c r="M92" s="12" t="s">
        <v>67</v>
      </c>
      <c r="N92" s="13"/>
      <c r="O92" s="13"/>
    </row>
    <row r="93" customFormat="false" ht="15" hidden="false" customHeight="false" outlineLevel="0" collapsed="false">
      <c r="A93" s="14" t="s">
        <v>323</v>
      </c>
      <c r="B93" s="14" t="n">
        <v>2</v>
      </c>
      <c r="C93" s="15" t="n">
        <f aca="false">$B$4+10</f>
        <v>46331</v>
      </c>
      <c r="D93" s="14" t="s">
        <v>86</v>
      </c>
      <c r="E93" s="16" t="s">
        <v>41</v>
      </c>
      <c r="F93" s="16" t="s">
        <v>42</v>
      </c>
      <c r="G93" s="14" t="s">
        <v>306</v>
      </c>
      <c r="H93" s="16" t="s">
        <v>307</v>
      </c>
      <c r="I93" s="14" t="n">
        <v>7</v>
      </c>
      <c r="J93" s="16" t="s">
        <v>324</v>
      </c>
      <c r="K93" s="16"/>
      <c r="L93" s="16"/>
      <c r="M93" s="12" t="s">
        <v>67</v>
      </c>
      <c r="N93" s="13"/>
      <c r="O93" s="13"/>
    </row>
    <row r="94" customFormat="false" ht="15" hidden="false" customHeight="false" outlineLevel="0" collapsed="false">
      <c r="A94" s="14" t="s">
        <v>325</v>
      </c>
      <c r="B94" s="14" t="n">
        <v>2</v>
      </c>
      <c r="C94" s="15" t="n">
        <f aca="false">$B$4+10</f>
        <v>46331</v>
      </c>
      <c r="D94" s="14" t="s">
        <v>86</v>
      </c>
      <c r="E94" s="16" t="s">
        <v>41</v>
      </c>
      <c r="F94" s="16" t="s">
        <v>42</v>
      </c>
      <c r="G94" s="14" t="s">
        <v>306</v>
      </c>
      <c r="H94" s="16" t="s">
        <v>307</v>
      </c>
      <c r="I94" s="14" t="n">
        <v>8</v>
      </c>
      <c r="J94" s="16" t="s">
        <v>326</v>
      </c>
      <c r="K94" s="16" t="s">
        <v>327</v>
      </c>
      <c r="L94" s="16"/>
      <c r="M94" s="12" t="s">
        <v>67</v>
      </c>
      <c r="N94" s="13"/>
      <c r="O94" s="13"/>
    </row>
    <row r="95" customFormat="false" ht="15" hidden="false" customHeight="false" outlineLevel="0" collapsed="false">
      <c r="A95" s="14" t="s">
        <v>328</v>
      </c>
      <c r="B95" s="14" t="n">
        <v>2</v>
      </c>
      <c r="C95" s="15" t="n">
        <f aca="false">$B$4+11</f>
        <v>46332</v>
      </c>
      <c r="D95" s="14" t="s">
        <v>93</v>
      </c>
      <c r="E95" s="16" t="s">
        <v>41</v>
      </c>
      <c r="F95" s="16" t="s">
        <v>42</v>
      </c>
      <c r="G95" s="14" t="s">
        <v>306</v>
      </c>
      <c r="H95" s="16" t="s">
        <v>307</v>
      </c>
      <c r="I95" s="14" t="n">
        <v>9</v>
      </c>
      <c r="J95" s="16" t="s">
        <v>329</v>
      </c>
      <c r="K95" s="16"/>
      <c r="L95" s="16"/>
      <c r="M95" s="12" t="s">
        <v>67</v>
      </c>
      <c r="N95" s="13"/>
      <c r="O95" s="13"/>
    </row>
    <row r="96" customFormat="false" ht="15" hidden="false" customHeight="false" outlineLevel="0" collapsed="false">
      <c r="A96" s="14" t="s">
        <v>330</v>
      </c>
      <c r="B96" s="14" t="n">
        <v>2</v>
      </c>
      <c r="C96" s="15" t="n">
        <f aca="false">$B$4+11</f>
        <v>46332</v>
      </c>
      <c r="D96" s="14" t="s">
        <v>93</v>
      </c>
      <c r="E96" s="16" t="s">
        <v>41</v>
      </c>
      <c r="F96" s="16" t="s">
        <v>42</v>
      </c>
      <c r="G96" s="14" t="s">
        <v>306</v>
      </c>
      <c r="H96" s="16" t="s">
        <v>307</v>
      </c>
      <c r="I96" s="14" t="n">
        <v>10</v>
      </c>
      <c r="J96" s="16" t="s">
        <v>331</v>
      </c>
      <c r="K96" s="16"/>
      <c r="L96" s="16"/>
      <c r="M96" s="12" t="s">
        <v>67</v>
      </c>
      <c r="N96" s="13"/>
      <c r="O96" s="13"/>
    </row>
    <row r="97" customFormat="false" ht="15" hidden="false" customHeight="false" outlineLevel="0" collapsed="false">
      <c r="A97" s="14" t="s">
        <v>332</v>
      </c>
      <c r="B97" s="14" t="n">
        <v>2</v>
      </c>
      <c r="C97" s="15" t="n">
        <f aca="false">$B$4+7</f>
        <v>46328</v>
      </c>
      <c r="D97" s="14" t="s">
        <v>62</v>
      </c>
      <c r="E97" s="16" t="s">
        <v>43</v>
      </c>
      <c r="F97" s="16" t="s">
        <v>44</v>
      </c>
      <c r="G97" s="14" t="s">
        <v>187</v>
      </c>
      <c r="H97" s="16" t="s">
        <v>333</v>
      </c>
      <c r="I97" s="14" t="n">
        <v>1</v>
      </c>
      <c r="J97" s="16" t="s">
        <v>334</v>
      </c>
      <c r="K97" s="16"/>
      <c r="L97" s="16"/>
      <c r="M97" s="12" t="s">
        <v>67</v>
      </c>
      <c r="N97" s="13"/>
      <c r="O97" s="13"/>
    </row>
    <row r="98" customFormat="false" ht="15" hidden="false" customHeight="false" outlineLevel="0" collapsed="false">
      <c r="A98" s="14" t="s">
        <v>335</v>
      </c>
      <c r="B98" s="14" t="n">
        <v>2</v>
      </c>
      <c r="C98" s="15" t="n">
        <f aca="false">$B$4+7</f>
        <v>46328</v>
      </c>
      <c r="D98" s="14" t="s">
        <v>62</v>
      </c>
      <c r="E98" s="16" t="s">
        <v>43</v>
      </c>
      <c r="F98" s="16" t="s">
        <v>44</v>
      </c>
      <c r="G98" s="14" t="s">
        <v>187</v>
      </c>
      <c r="H98" s="16" t="s">
        <v>333</v>
      </c>
      <c r="I98" s="14" t="n">
        <v>2</v>
      </c>
      <c r="J98" s="16" t="s">
        <v>336</v>
      </c>
      <c r="K98" s="16"/>
      <c r="L98" s="16"/>
      <c r="M98" s="12" t="s">
        <v>67</v>
      </c>
      <c r="N98" s="13"/>
      <c r="O98" s="13"/>
    </row>
    <row r="99" customFormat="false" ht="15" hidden="false" customHeight="false" outlineLevel="0" collapsed="false">
      <c r="A99" s="14" t="s">
        <v>337</v>
      </c>
      <c r="B99" s="14" t="n">
        <v>2</v>
      </c>
      <c r="C99" s="15" t="n">
        <f aca="false">$B$4+8</f>
        <v>46329</v>
      </c>
      <c r="D99" s="14" t="s">
        <v>72</v>
      </c>
      <c r="E99" s="16" t="s">
        <v>43</v>
      </c>
      <c r="F99" s="16" t="s">
        <v>44</v>
      </c>
      <c r="G99" s="14" t="s">
        <v>187</v>
      </c>
      <c r="H99" s="16" t="s">
        <v>333</v>
      </c>
      <c r="I99" s="14" t="n">
        <v>3</v>
      </c>
      <c r="J99" s="16" t="s">
        <v>338</v>
      </c>
      <c r="K99" s="16"/>
      <c r="L99" s="16"/>
      <c r="M99" s="12" t="s">
        <v>67</v>
      </c>
      <c r="N99" s="13"/>
      <c r="O99" s="13"/>
    </row>
    <row r="100" customFormat="false" ht="15" hidden="false" customHeight="false" outlineLevel="0" collapsed="false">
      <c r="A100" s="14" t="s">
        <v>339</v>
      </c>
      <c r="B100" s="14" t="n">
        <v>2</v>
      </c>
      <c r="C100" s="15" t="n">
        <f aca="false">$B$4+8</f>
        <v>46329</v>
      </c>
      <c r="D100" s="14" t="s">
        <v>72</v>
      </c>
      <c r="E100" s="16" t="s">
        <v>43</v>
      </c>
      <c r="F100" s="16" t="s">
        <v>44</v>
      </c>
      <c r="G100" s="14" t="s">
        <v>187</v>
      </c>
      <c r="H100" s="16" t="s">
        <v>333</v>
      </c>
      <c r="I100" s="14" t="n">
        <v>4</v>
      </c>
      <c r="J100" s="16" t="s">
        <v>340</v>
      </c>
      <c r="K100" s="16"/>
      <c r="L100" s="16"/>
      <c r="M100" s="12" t="s">
        <v>67</v>
      </c>
      <c r="N100" s="13"/>
      <c r="O100" s="13"/>
    </row>
    <row r="101" customFormat="false" ht="15" hidden="false" customHeight="false" outlineLevel="0" collapsed="false">
      <c r="A101" s="14" t="s">
        <v>341</v>
      </c>
      <c r="B101" s="14" t="n">
        <v>2</v>
      </c>
      <c r="C101" s="15" t="n">
        <f aca="false">$B$4+9</f>
        <v>46330</v>
      </c>
      <c r="D101" s="14" t="s">
        <v>79</v>
      </c>
      <c r="E101" s="16" t="s">
        <v>43</v>
      </c>
      <c r="F101" s="16" t="s">
        <v>44</v>
      </c>
      <c r="G101" s="14" t="s">
        <v>187</v>
      </c>
      <c r="H101" s="16" t="s">
        <v>333</v>
      </c>
      <c r="I101" s="14" t="n">
        <v>5</v>
      </c>
      <c r="J101" s="16" t="s">
        <v>342</v>
      </c>
      <c r="K101" s="16" t="s">
        <v>343</v>
      </c>
      <c r="L101" s="16"/>
      <c r="M101" s="12" t="s">
        <v>67</v>
      </c>
      <c r="N101" s="13"/>
      <c r="O101" s="13"/>
    </row>
    <row r="102" customFormat="false" ht="23.85" hidden="false" customHeight="false" outlineLevel="0" collapsed="false">
      <c r="A102" s="14" t="s">
        <v>344</v>
      </c>
      <c r="B102" s="14" t="n">
        <v>2</v>
      </c>
      <c r="C102" s="15" t="n">
        <f aca="false">$B$4+9</f>
        <v>46330</v>
      </c>
      <c r="D102" s="14" t="s">
        <v>79</v>
      </c>
      <c r="E102" s="16" t="s">
        <v>43</v>
      </c>
      <c r="F102" s="16" t="s">
        <v>44</v>
      </c>
      <c r="G102" s="14" t="s">
        <v>187</v>
      </c>
      <c r="H102" s="16" t="s">
        <v>333</v>
      </c>
      <c r="I102" s="14" t="n">
        <v>6</v>
      </c>
      <c r="J102" s="16" t="s">
        <v>345</v>
      </c>
      <c r="K102" s="16"/>
      <c r="L102" s="16"/>
      <c r="M102" s="12" t="s">
        <v>67</v>
      </c>
      <c r="N102" s="13"/>
      <c r="O102" s="13"/>
    </row>
    <row r="103" customFormat="false" ht="15" hidden="false" customHeight="false" outlineLevel="0" collapsed="false">
      <c r="A103" s="14" t="s">
        <v>346</v>
      </c>
      <c r="B103" s="14" t="n">
        <v>2</v>
      </c>
      <c r="C103" s="15" t="n">
        <f aca="false">$B$4+10</f>
        <v>46331</v>
      </c>
      <c r="D103" s="14" t="s">
        <v>86</v>
      </c>
      <c r="E103" s="16" t="s">
        <v>43</v>
      </c>
      <c r="F103" s="16" t="s">
        <v>44</v>
      </c>
      <c r="G103" s="14" t="s">
        <v>187</v>
      </c>
      <c r="H103" s="16" t="s">
        <v>333</v>
      </c>
      <c r="I103" s="14" t="n">
        <v>7</v>
      </c>
      <c r="J103" s="16" t="s">
        <v>347</v>
      </c>
      <c r="K103" s="16"/>
      <c r="L103" s="16"/>
      <c r="M103" s="12" t="s">
        <v>67</v>
      </c>
      <c r="N103" s="13"/>
      <c r="O103" s="13"/>
    </row>
    <row r="104" customFormat="false" ht="15" hidden="false" customHeight="false" outlineLevel="0" collapsed="false">
      <c r="A104" s="14" t="s">
        <v>348</v>
      </c>
      <c r="B104" s="14" t="n">
        <v>2</v>
      </c>
      <c r="C104" s="15" t="n">
        <f aca="false">$B$4+10</f>
        <v>46331</v>
      </c>
      <c r="D104" s="14" t="s">
        <v>86</v>
      </c>
      <c r="E104" s="16" t="s">
        <v>43</v>
      </c>
      <c r="F104" s="16" t="s">
        <v>44</v>
      </c>
      <c r="G104" s="14" t="s">
        <v>187</v>
      </c>
      <c r="H104" s="16" t="s">
        <v>333</v>
      </c>
      <c r="I104" s="14" t="n">
        <v>8</v>
      </c>
      <c r="J104" s="16" t="s">
        <v>349</v>
      </c>
      <c r="K104" s="16" t="s">
        <v>350</v>
      </c>
      <c r="L104" s="16"/>
      <c r="M104" s="12" t="s">
        <v>67</v>
      </c>
      <c r="N104" s="13"/>
      <c r="O104" s="13"/>
    </row>
    <row r="105" customFormat="false" ht="15" hidden="false" customHeight="false" outlineLevel="0" collapsed="false">
      <c r="A105" s="14" t="s">
        <v>351</v>
      </c>
      <c r="B105" s="14" t="n">
        <v>2</v>
      </c>
      <c r="C105" s="15" t="n">
        <f aca="false">$B$4+11</f>
        <v>46332</v>
      </c>
      <c r="D105" s="14" t="s">
        <v>93</v>
      </c>
      <c r="E105" s="16" t="s">
        <v>43</v>
      </c>
      <c r="F105" s="16" t="s">
        <v>44</v>
      </c>
      <c r="G105" s="14" t="s">
        <v>187</v>
      </c>
      <c r="H105" s="16" t="s">
        <v>333</v>
      </c>
      <c r="I105" s="14" t="n">
        <v>9</v>
      </c>
      <c r="J105" s="16" t="s">
        <v>352</v>
      </c>
      <c r="K105" s="16"/>
      <c r="L105" s="16"/>
      <c r="M105" s="12" t="s">
        <v>67</v>
      </c>
      <c r="N105" s="13"/>
      <c r="O105" s="13"/>
    </row>
    <row r="106" customFormat="false" ht="15" hidden="false" customHeight="false" outlineLevel="0" collapsed="false">
      <c r="A106" s="14" t="s">
        <v>353</v>
      </c>
      <c r="B106" s="14" t="n">
        <v>2</v>
      </c>
      <c r="C106" s="15" t="n">
        <f aca="false">$B$4+11</f>
        <v>46332</v>
      </c>
      <c r="D106" s="14" t="s">
        <v>93</v>
      </c>
      <c r="E106" s="16" t="s">
        <v>43</v>
      </c>
      <c r="F106" s="16" t="s">
        <v>44</v>
      </c>
      <c r="G106" s="14" t="s">
        <v>187</v>
      </c>
      <c r="H106" s="16" t="s">
        <v>333</v>
      </c>
      <c r="I106" s="14" t="n">
        <v>10</v>
      </c>
      <c r="J106" s="16" t="s">
        <v>354</v>
      </c>
      <c r="K106" s="16"/>
      <c r="L106" s="16"/>
      <c r="M106" s="12" t="s">
        <v>67</v>
      </c>
      <c r="N106" s="13"/>
      <c r="O106" s="13"/>
    </row>
    <row r="107" customFormat="false" ht="23.85" hidden="false" customHeight="false" outlineLevel="0" collapsed="false">
      <c r="A107" s="9" t="s">
        <v>355</v>
      </c>
      <c r="B107" s="9" t="n">
        <v>3</v>
      </c>
      <c r="C107" s="10" t="n">
        <f aca="false">$B$4+14</f>
        <v>46335</v>
      </c>
      <c r="D107" s="9" t="s">
        <v>62</v>
      </c>
      <c r="E107" s="11" t="s">
        <v>35</v>
      </c>
      <c r="F107" s="11" t="s">
        <v>36</v>
      </c>
      <c r="G107" s="9" t="s">
        <v>187</v>
      </c>
      <c r="H107" s="11" t="s">
        <v>356</v>
      </c>
      <c r="I107" s="9" t="n">
        <v>1</v>
      </c>
      <c r="J107" s="11" t="s">
        <v>357</v>
      </c>
      <c r="K107" s="11" t="s">
        <v>358</v>
      </c>
      <c r="L107" s="11"/>
      <c r="M107" s="12" t="s">
        <v>67</v>
      </c>
      <c r="N107" s="13"/>
      <c r="O107" s="13"/>
    </row>
    <row r="108" customFormat="false" ht="23.85" hidden="false" customHeight="false" outlineLevel="0" collapsed="false">
      <c r="A108" s="9" t="s">
        <v>359</v>
      </c>
      <c r="B108" s="9" t="n">
        <v>3</v>
      </c>
      <c r="C108" s="10" t="n">
        <f aca="false">$B$4+14</f>
        <v>46335</v>
      </c>
      <c r="D108" s="9" t="s">
        <v>62</v>
      </c>
      <c r="E108" s="11" t="s">
        <v>35</v>
      </c>
      <c r="F108" s="11" t="s">
        <v>36</v>
      </c>
      <c r="G108" s="9" t="s">
        <v>187</v>
      </c>
      <c r="H108" s="11" t="s">
        <v>356</v>
      </c>
      <c r="I108" s="9" t="n">
        <v>2</v>
      </c>
      <c r="J108" s="11" t="s">
        <v>360</v>
      </c>
      <c r="K108" s="11" t="s">
        <v>361</v>
      </c>
      <c r="L108" s="11"/>
      <c r="M108" s="12" t="s">
        <v>67</v>
      </c>
      <c r="N108" s="13"/>
      <c r="O108" s="13"/>
    </row>
    <row r="109" customFormat="false" ht="23.85" hidden="false" customHeight="false" outlineLevel="0" collapsed="false">
      <c r="A109" s="9" t="s">
        <v>362</v>
      </c>
      <c r="B109" s="9" t="n">
        <v>3</v>
      </c>
      <c r="C109" s="10" t="n">
        <f aca="false">$B$4+15</f>
        <v>46336</v>
      </c>
      <c r="D109" s="9" t="s">
        <v>72</v>
      </c>
      <c r="E109" s="11" t="s">
        <v>35</v>
      </c>
      <c r="F109" s="11" t="s">
        <v>36</v>
      </c>
      <c r="G109" s="9" t="s">
        <v>187</v>
      </c>
      <c r="H109" s="11" t="s">
        <v>356</v>
      </c>
      <c r="I109" s="9" t="n">
        <v>3</v>
      </c>
      <c r="J109" s="11" t="s">
        <v>363</v>
      </c>
      <c r="K109" s="11" t="s">
        <v>364</v>
      </c>
      <c r="L109" s="11"/>
      <c r="M109" s="12" t="s">
        <v>67</v>
      </c>
      <c r="N109" s="13"/>
      <c r="O109" s="13"/>
    </row>
    <row r="110" customFormat="false" ht="23.85" hidden="false" customHeight="false" outlineLevel="0" collapsed="false">
      <c r="A110" s="9" t="s">
        <v>365</v>
      </c>
      <c r="B110" s="9" t="n">
        <v>3</v>
      </c>
      <c r="C110" s="10" t="n">
        <f aca="false">$B$4+15</f>
        <v>46336</v>
      </c>
      <c r="D110" s="9" t="s">
        <v>72</v>
      </c>
      <c r="E110" s="11" t="s">
        <v>35</v>
      </c>
      <c r="F110" s="11" t="s">
        <v>36</v>
      </c>
      <c r="G110" s="9" t="s">
        <v>187</v>
      </c>
      <c r="H110" s="11" t="s">
        <v>356</v>
      </c>
      <c r="I110" s="9" t="n">
        <v>4</v>
      </c>
      <c r="J110" s="11" t="s">
        <v>366</v>
      </c>
      <c r="K110" s="11" t="s">
        <v>367</v>
      </c>
      <c r="L110" s="11"/>
      <c r="M110" s="12" t="s">
        <v>67</v>
      </c>
      <c r="N110" s="13"/>
      <c r="O110" s="13"/>
    </row>
    <row r="111" customFormat="false" ht="23.85" hidden="false" customHeight="false" outlineLevel="0" collapsed="false">
      <c r="A111" s="9" t="s">
        <v>368</v>
      </c>
      <c r="B111" s="9" t="n">
        <v>3</v>
      </c>
      <c r="C111" s="10" t="n">
        <f aca="false">$B$4+16</f>
        <v>46337</v>
      </c>
      <c r="D111" s="9" t="s">
        <v>79</v>
      </c>
      <c r="E111" s="11" t="s">
        <v>35</v>
      </c>
      <c r="F111" s="11" t="s">
        <v>36</v>
      </c>
      <c r="G111" s="9" t="s">
        <v>187</v>
      </c>
      <c r="H111" s="11" t="s">
        <v>356</v>
      </c>
      <c r="I111" s="9" t="n">
        <v>5</v>
      </c>
      <c r="J111" s="11" t="s">
        <v>369</v>
      </c>
      <c r="K111" s="11" t="s">
        <v>370</v>
      </c>
      <c r="L111" s="11"/>
      <c r="M111" s="12" t="s">
        <v>67</v>
      </c>
      <c r="N111" s="13"/>
      <c r="O111" s="13"/>
    </row>
    <row r="112" customFormat="false" ht="23.85" hidden="false" customHeight="false" outlineLevel="0" collapsed="false">
      <c r="A112" s="9" t="s">
        <v>371</v>
      </c>
      <c r="B112" s="9" t="n">
        <v>3</v>
      </c>
      <c r="C112" s="10" t="n">
        <f aca="false">$B$4+16</f>
        <v>46337</v>
      </c>
      <c r="D112" s="9" t="s">
        <v>79</v>
      </c>
      <c r="E112" s="11" t="s">
        <v>35</v>
      </c>
      <c r="F112" s="11" t="s">
        <v>36</v>
      </c>
      <c r="G112" s="9" t="s">
        <v>187</v>
      </c>
      <c r="H112" s="11" t="s">
        <v>356</v>
      </c>
      <c r="I112" s="9" t="n">
        <v>6</v>
      </c>
      <c r="J112" s="11" t="s">
        <v>372</v>
      </c>
      <c r="K112" s="11" t="s">
        <v>373</v>
      </c>
      <c r="L112" s="11"/>
      <c r="M112" s="12" t="s">
        <v>67</v>
      </c>
      <c r="N112" s="13"/>
      <c r="O112" s="13"/>
    </row>
    <row r="113" customFormat="false" ht="23.85" hidden="false" customHeight="false" outlineLevel="0" collapsed="false">
      <c r="A113" s="9" t="s">
        <v>374</v>
      </c>
      <c r="B113" s="9" t="n">
        <v>3</v>
      </c>
      <c r="C113" s="10" t="n">
        <f aca="false">$B$4+17</f>
        <v>46338</v>
      </c>
      <c r="D113" s="9" t="s">
        <v>86</v>
      </c>
      <c r="E113" s="11" t="s">
        <v>35</v>
      </c>
      <c r="F113" s="11" t="s">
        <v>36</v>
      </c>
      <c r="G113" s="9" t="s">
        <v>187</v>
      </c>
      <c r="H113" s="11" t="s">
        <v>356</v>
      </c>
      <c r="I113" s="9" t="n">
        <v>7</v>
      </c>
      <c r="J113" s="11" t="s">
        <v>375</v>
      </c>
      <c r="K113" s="11" t="s">
        <v>376</v>
      </c>
      <c r="L113" s="11" t="s">
        <v>377</v>
      </c>
      <c r="M113" s="12" t="s">
        <v>67</v>
      </c>
      <c r="N113" s="13"/>
      <c r="O113" s="13"/>
    </row>
    <row r="114" customFormat="false" ht="23.85" hidden="false" customHeight="false" outlineLevel="0" collapsed="false">
      <c r="A114" s="9" t="s">
        <v>378</v>
      </c>
      <c r="B114" s="9" t="n">
        <v>3</v>
      </c>
      <c r="C114" s="10" t="n">
        <f aca="false">$B$4+17</f>
        <v>46338</v>
      </c>
      <c r="D114" s="9" t="s">
        <v>86</v>
      </c>
      <c r="E114" s="11" t="s">
        <v>35</v>
      </c>
      <c r="F114" s="11" t="s">
        <v>36</v>
      </c>
      <c r="G114" s="9" t="s">
        <v>187</v>
      </c>
      <c r="H114" s="11" t="s">
        <v>356</v>
      </c>
      <c r="I114" s="9" t="n">
        <v>8</v>
      </c>
      <c r="J114" s="11" t="s">
        <v>379</v>
      </c>
      <c r="K114" s="11" t="s">
        <v>380</v>
      </c>
      <c r="L114" s="11"/>
      <c r="M114" s="12" t="s">
        <v>67</v>
      </c>
      <c r="N114" s="13"/>
      <c r="O114" s="13"/>
    </row>
    <row r="115" customFormat="false" ht="23.85" hidden="false" customHeight="false" outlineLevel="0" collapsed="false">
      <c r="A115" s="9" t="s">
        <v>381</v>
      </c>
      <c r="B115" s="9" t="n">
        <v>3</v>
      </c>
      <c r="C115" s="10" t="n">
        <f aca="false">$B$4+18</f>
        <v>46339</v>
      </c>
      <c r="D115" s="9" t="s">
        <v>93</v>
      </c>
      <c r="E115" s="11" t="s">
        <v>35</v>
      </c>
      <c r="F115" s="11" t="s">
        <v>36</v>
      </c>
      <c r="G115" s="9" t="s">
        <v>187</v>
      </c>
      <c r="H115" s="11" t="s">
        <v>356</v>
      </c>
      <c r="I115" s="9" t="n">
        <v>9</v>
      </c>
      <c r="J115" s="11" t="s">
        <v>382</v>
      </c>
      <c r="K115" s="11" t="s">
        <v>383</v>
      </c>
      <c r="L115" s="11"/>
      <c r="M115" s="12" t="s">
        <v>67</v>
      </c>
      <c r="N115" s="13"/>
      <c r="O115" s="13"/>
    </row>
    <row r="116" customFormat="false" ht="23.85" hidden="false" customHeight="false" outlineLevel="0" collapsed="false">
      <c r="A116" s="9" t="s">
        <v>384</v>
      </c>
      <c r="B116" s="9" t="n">
        <v>3</v>
      </c>
      <c r="C116" s="10" t="n">
        <f aca="false">$B$4+18</f>
        <v>46339</v>
      </c>
      <c r="D116" s="9" t="s">
        <v>93</v>
      </c>
      <c r="E116" s="11" t="s">
        <v>35</v>
      </c>
      <c r="F116" s="11" t="s">
        <v>36</v>
      </c>
      <c r="G116" s="9" t="s">
        <v>187</v>
      </c>
      <c r="H116" s="11" t="s">
        <v>356</v>
      </c>
      <c r="I116" s="9" t="n">
        <v>10</v>
      </c>
      <c r="J116" s="11" t="s">
        <v>385</v>
      </c>
      <c r="K116" s="11" t="s">
        <v>386</v>
      </c>
      <c r="L116" s="11"/>
      <c r="M116" s="12" t="s">
        <v>67</v>
      </c>
      <c r="N116" s="13"/>
      <c r="O116" s="13"/>
    </row>
    <row r="117" customFormat="false" ht="23.85" hidden="false" customHeight="false" outlineLevel="0" collapsed="false">
      <c r="A117" s="9" t="s">
        <v>387</v>
      </c>
      <c r="B117" s="9" t="n">
        <v>3</v>
      </c>
      <c r="C117" s="10" t="n">
        <f aca="false">$B$4+14</f>
        <v>46335</v>
      </c>
      <c r="D117" s="9" t="s">
        <v>62</v>
      </c>
      <c r="E117" s="11" t="s">
        <v>37</v>
      </c>
      <c r="F117" s="11" t="s">
        <v>38</v>
      </c>
      <c r="G117" s="9" t="s">
        <v>187</v>
      </c>
      <c r="H117" s="11" t="s">
        <v>388</v>
      </c>
      <c r="I117" s="9" t="n">
        <v>1</v>
      </c>
      <c r="J117" s="11" t="s">
        <v>389</v>
      </c>
      <c r="K117" s="11" t="s">
        <v>390</v>
      </c>
      <c r="L117" s="11" t="s">
        <v>391</v>
      </c>
      <c r="M117" s="12" t="s">
        <v>67</v>
      </c>
      <c r="N117" s="13"/>
      <c r="O117" s="13"/>
    </row>
    <row r="118" customFormat="false" ht="15" hidden="false" customHeight="false" outlineLevel="0" collapsed="false">
      <c r="A118" s="9" t="s">
        <v>392</v>
      </c>
      <c r="B118" s="9" t="n">
        <v>3</v>
      </c>
      <c r="C118" s="10" t="n">
        <f aca="false">$B$4+14</f>
        <v>46335</v>
      </c>
      <c r="D118" s="9" t="s">
        <v>62</v>
      </c>
      <c r="E118" s="11" t="s">
        <v>37</v>
      </c>
      <c r="F118" s="11" t="s">
        <v>38</v>
      </c>
      <c r="G118" s="9" t="s">
        <v>187</v>
      </c>
      <c r="H118" s="11" t="s">
        <v>388</v>
      </c>
      <c r="I118" s="9" t="n">
        <v>2</v>
      </c>
      <c r="J118" s="11" t="s">
        <v>393</v>
      </c>
      <c r="K118" s="11" t="s">
        <v>394</v>
      </c>
      <c r="L118" s="11"/>
      <c r="M118" s="12" t="s">
        <v>67</v>
      </c>
      <c r="N118" s="13"/>
      <c r="O118" s="13"/>
    </row>
    <row r="119" customFormat="false" ht="15" hidden="false" customHeight="false" outlineLevel="0" collapsed="false">
      <c r="A119" s="9" t="s">
        <v>395</v>
      </c>
      <c r="B119" s="9" t="n">
        <v>3</v>
      </c>
      <c r="C119" s="10" t="n">
        <f aca="false">$B$4+15</f>
        <v>46336</v>
      </c>
      <c r="D119" s="9" t="s">
        <v>72</v>
      </c>
      <c r="E119" s="11" t="s">
        <v>37</v>
      </c>
      <c r="F119" s="11" t="s">
        <v>38</v>
      </c>
      <c r="G119" s="9" t="s">
        <v>187</v>
      </c>
      <c r="H119" s="11" t="s">
        <v>388</v>
      </c>
      <c r="I119" s="9" t="n">
        <v>3</v>
      </c>
      <c r="J119" s="11" t="s">
        <v>396</v>
      </c>
      <c r="K119" s="11" t="s">
        <v>397</v>
      </c>
      <c r="L119" s="11"/>
      <c r="M119" s="12" t="s">
        <v>67</v>
      </c>
      <c r="N119" s="13"/>
      <c r="O119" s="13"/>
    </row>
    <row r="120" customFormat="false" ht="15" hidden="false" customHeight="false" outlineLevel="0" collapsed="false">
      <c r="A120" s="9" t="s">
        <v>398</v>
      </c>
      <c r="B120" s="9" t="n">
        <v>3</v>
      </c>
      <c r="C120" s="10" t="n">
        <f aca="false">$B$4+15</f>
        <v>46336</v>
      </c>
      <c r="D120" s="9" t="s">
        <v>72</v>
      </c>
      <c r="E120" s="11" t="s">
        <v>37</v>
      </c>
      <c r="F120" s="11" t="s">
        <v>38</v>
      </c>
      <c r="G120" s="9" t="s">
        <v>187</v>
      </c>
      <c r="H120" s="11" t="s">
        <v>388</v>
      </c>
      <c r="I120" s="9" t="n">
        <v>4</v>
      </c>
      <c r="J120" s="11" t="s">
        <v>399</v>
      </c>
      <c r="K120" s="11" t="s">
        <v>400</v>
      </c>
      <c r="L120" s="11"/>
      <c r="M120" s="12" t="s">
        <v>67</v>
      </c>
      <c r="N120" s="13"/>
      <c r="O120" s="13"/>
    </row>
    <row r="121" customFormat="false" ht="15" hidden="false" customHeight="false" outlineLevel="0" collapsed="false">
      <c r="A121" s="9" t="s">
        <v>401</v>
      </c>
      <c r="B121" s="9" t="n">
        <v>3</v>
      </c>
      <c r="C121" s="10" t="n">
        <f aca="false">$B$4+16</f>
        <v>46337</v>
      </c>
      <c r="D121" s="9" t="s">
        <v>79</v>
      </c>
      <c r="E121" s="11" t="s">
        <v>37</v>
      </c>
      <c r="F121" s="11" t="s">
        <v>38</v>
      </c>
      <c r="G121" s="9" t="s">
        <v>187</v>
      </c>
      <c r="H121" s="11" t="s">
        <v>388</v>
      </c>
      <c r="I121" s="9" t="n">
        <v>5</v>
      </c>
      <c r="J121" s="11" t="s">
        <v>402</v>
      </c>
      <c r="K121" s="11"/>
      <c r="L121" s="11"/>
      <c r="M121" s="12" t="s">
        <v>67</v>
      </c>
      <c r="N121" s="13"/>
      <c r="O121" s="13"/>
    </row>
    <row r="122" customFormat="false" ht="15" hidden="false" customHeight="false" outlineLevel="0" collapsed="false">
      <c r="A122" s="9" t="s">
        <v>403</v>
      </c>
      <c r="B122" s="9" t="n">
        <v>3</v>
      </c>
      <c r="C122" s="10" t="n">
        <f aca="false">$B$4+16</f>
        <v>46337</v>
      </c>
      <c r="D122" s="9" t="s">
        <v>79</v>
      </c>
      <c r="E122" s="11" t="s">
        <v>37</v>
      </c>
      <c r="F122" s="11" t="s">
        <v>38</v>
      </c>
      <c r="G122" s="9" t="s">
        <v>187</v>
      </c>
      <c r="H122" s="11" t="s">
        <v>388</v>
      </c>
      <c r="I122" s="9" t="n">
        <v>6</v>
      </c>
      <c r="J122" s="11" t="s">
        <v>404</v>
      </c>
      <c r="K122" s="11" t="s">
        <v>405</v>
      </c>
      <c r="L122" s="11"/>
      <c r="M122" s="12" t="s">
        <v>67</v>
      </c>
      <c r="N122" s="13"/>
      <c r="O122" s="13"/>
    </row>
    <row r="123" customFormat="false" ht="15" hidden="false" customHeight="false" outlineLevel="0" collapsed="false">
      <c r="A123" s="9" t="s">
        <v>406</v>
      </c>
      <c r="B123" s="9" t="n">
        <v>3</v>
      </c>
      <c r="C123" s="10" t="n">
        <f aca="false">$B$4+17</f>
        <v>46338</v>
      </c>
      <c r="D123" s="9" t="s">
        <v>86</v>
      </c>
      <c r="E123" s="11" t="s">
        <v>37</v>
      </c>
      <c r="F123" s="11" t="s">
        <v>38</v>
      </c>
      <c r="G123" s="9" t="s">
        <v>187</v>
      </c>
      <c r="H123" s="11" t="s">
        <v>388</v>
      </c>
      <c r="I123" s="9" t="n">
        <v>7</v>
      </c>
      <c r="J123" s="11" t="s">
        <v>407</v>
      </c>
      <c r="K123" s="11" t="s">
        <v>408</v>
      </c>
      <c r="L123" s="11"/>
      <c r="M123" s="12" t="s">
        <v>67</v>
      </c>
      <c r="N123" s="13"/>
      <c r="O123" s="13"/>
    </row>
    <row r="124" customFormat="false" ht="15" hidden="false" customHeight="false" outlineLevel="0" collapsed="false">
      <c r="A124" s="9" t="s">
        <v>409</v>
      </c>
      <c r="B124" s="9" t="n">
        <v>3</v>
      </c>
      <c r="C124" s="10" t="n">
        <f aca="false">$B$4+17</f>
        <v>46338</v>
      </c>
      <c r="D124" s="9" t="s">
        <v>86</v>
      </c>
      <c r="E124" s="11" t="s">
        <v>37</v>
      </c>
      <c r="F124" s="11" t="s">
        <v>38</v>
      </c>
      <c r="G124" s="9" t="s">
        <v>187</v>
      </c>
      <c r="H124" s="11" t="s">
        <v>388</v>
      </c>
      <c r="I124" s="9" t="n">
        <v>8</v>
      </c>
      <c r="J124" s="11" t="s">
        <v>410</v>
      </c>
      <c r="K124" s="11"/>
      <c r="L124" s="11"/>
      <c r="M124" s="12" t="s">
        <v>67</v>
      </c>
      <c r="N124" s="13"/>
      <c r="O124" s="13"/>
    </row>
    <row r="125" customFormat="false" ht="15" hidden="false" customHeight="false" outlineLevel="0" collapsed="false">
      <c r="A125" s="9" t="s">
        <v>411</v>
      </c>
      <c r="B125" s="9" t="n">
        <v>3</v>
      </c>
      <c r="C125" s="10" t="n">
        <f aca="false">$B$4+18</f>
        <v>46339</v>
      </c>
      <c r="D125" s="9" t="s">
        <v>93</v>
      </c>
      <c r="E125" s="11" t="s">
        <v>37</v>
      </c>
      <c r="F125" s="11" t="s">
        <v>38</v>
      </c>
      <c r="G125" s="9" t="s">
        <v>187</v>
      </c>
      <c r="H125" s="11" t="s">
        <v>388</v>
      </c>
      <c r="I125" s="9" t="n">
        <v>9</v>
      </c>
      <c r="J125" s="11" t="s">
        <v>412</v>
      </c>
      <c r="K125" s="11" t="s">
        <v>413</v>
      </c>
      <c r="L125" s="11"/>
      <c r="M125" s="12" t="s">
        <v>67</v>
      </c>
      <c r="N125" s="13"/>
      <c r="O125" s="13"/>
    </row>
    <row r="126" customFormat="false" ht="15" hidden="false" customHeight="false" outlineLevel="0" collapsed="false">
      <c r="A126" s="9" t="s">
        <v>414</v>
      </c>
      <c r="B126" s="9" t="n">
        <v>3</v>
      </c>
      <c r="C126" s="10" t="n">
        <f aca="false">$B$4+18</f>
        <v>46339</v>
      </c>
      <c r="D126" s="9" t="s">
        <v>93</v>
      </c>
      <c r="E126" s="11" t="s">
        <v>37</v>
      </c>
      <c r="F126" s="11" t="s">
        <v>38</v>
      </c>
      <c r="G126" s="9" t="s">
        <v>187</v>
      </c>
      <c r="H126" s="11" t="s">
        <v>388</v>
      </c>
      <c r="I126" s="9" t="n">
        <v>10</v>
      </c>
      <c r="J126" s="11" t="s">
        <v>415</v>
      </c>
      <c r="K126" s="11" t="s">
        <v>416</v>
      </c>
      <c r="L126" s="11"/>
      <c r="M126" s="12" t="s">
        <v>67</v>
      </c>
      <c r="N126" s="13"/>
      <c r="O126" s="13"/>
    </row>
    <row r="127" customFormat="false" ht="15" hidden="false" customHeight="false" outlineLevel="0" collapsed="false">
      <c r="A127" s="9" t="s">
        <v>417</v>
      </c>
      <c r="B127" s="9" t="n">
        <v>3</v>
      </c>
      <c r="C127" s="10" t="n">
        <f aca="false">$B$4+14</f>
        <v>46335</v>
      </c>
      <c r="D127" s="9" t="s">
        <v>62</v>
      </c>
      <c r="E127" s="11" t="s">
        <v>39</v>
      </c>
      <c r="F127" s="11" t="s">
        <v>40</v>
      </c>
      <c r="G127" s="9" t="s">
        <v>134</v>
      </c>
      <c r="H127" s="11" t="s">
        <v>418</v>
      </c>
      <c r="I127" s="9" t="n">
        <v>1</v>
      </c>
      <c r="J127" s="11" t="s">
        <v>419</v>
      </c>
      <c r="K127" s="11" t="s">
        <v>420</v>
      </c>
      <c r="L127" s="11"/>
      <c r="M127" s="12" t="s">
        <v>67</v>
      </c>
      <c r="N127" s="13"/>
      <c r="O127" s="13"/>
    </row>
    <row r="128" customFormat="false" ht="15" hidden="false" customHeight="false" outlineLevel="0" collapsed="false">
      <c r="A128" s="9" t="s">
        <v>421</v>
      </c>
      <c r="B128" s="9" t="n">
        <v>3</v>
      </c>
      <c r="C128" s="10" t="n">
        <f aca="false">$B$4+14</f>
        <v>46335</v>
      </c>
      <c r="D128" s="9" t="s">
        <v>62</v>
      </c>
      <c r="E128" s="11" t="s">
        <v>39</v>
      </c>
      <c r="F128" s="11" t="s">
        <v>40</v>
      </c>
      <c r="G128" s="9" t="s">
        <v>134</v>
      </c>
      <c r="H128" s="11" t="s">
        <v>418</v>
      </c>
      <c r="I128" s="9" t="n">
        <v>2</v>
      </c>
      <c r="J128" s="11" t="s">
        <v>422</v>
      </c>
      <c r="K128" s="11"/>
      <c r="L128" s="11"/>
      <c r="M128" s="12" t="s">
        <v>67</v>
      </c>
      <c r="N128" s="13"/>
      <c r="O128" s="13"/>
    </row>
    <row r="129" customFormat="false" ht="15" hidden="false" customHeight="false" outlineLevel="0" collapsed="false">
      <c r="A129" s="9" t="s">
        <v>423</v>
      </c>
      <c r="B129" s="9" t="n">
        <v>3</v>
      </c>
      <c r="C129" s="10" t="n">
        <f aca="false">$B$4+15</f>
        <v>46336</v>
      </c>
      <c r="D129" s="9" t="s">
        <v>72</v>
      </c>
      <c r="E129" s="11" t="s">
        <v>39</v>
      </c>
      <c r="F129" s="11" t="s">
        <v>40</v>
      </c>
      <c r="G129" s="9" t="s">
        <v>134</v>
      </c>
      <c r="H129" s="11" t="s">
        <v>418</v>
      </c>
      <c r="I129" s="9" t="n">
        <v>3</v>
      </c>
      <c r="J129" s="11" t="s">
        <v>424</v>
      </c>
      <c r="K129" s="11"/>
      <c r="L129" s="11"/>
      <c r="M129" s="12" t="s">
        <v>67</v>
      </c>
      <c r="N129" s="13"/>
      <c r="O129" s="13"/>
    </row>
    <row r="130" customFormat="false" ht="15" hidden="false" customHeight="false" outlineLevel="0" collapsed="false">
      <c r="A130" s="9" t="s">
        <v>425</v>
      </c>
      <c r="B130" s="9" t="n">
        <v>3</v>
      </c>
      <c r="C130" s="10" t="n">
        <f aca="false">$B$4+15</f>
        <v>46336</v>
      </c>
      <c r="D130" s="9" t="s">
        <v>72</v>
      </c>
      <c r="E130" s="11" t="s">
        <v>39</v>
      </c>
      <c r="F130" s="11" t="s">
        <v>40</v>
      </c>
      <c r="G130" s="9" t="s">
        <v>134</v>
      </c>
      <c r="H130" s="11" t="s">
        <v>418</v>
      </c>
      <c r="I130" s="9" t="n">
        <v>4</v>
      </c>
      <c r="J130" s="11" t="s">
        <v>426</v>
      </c>
      <c r="K130" s="11"/>
      <c r="L130" s="11"/>
      <c r="M130" s="12" t="s">
        <v>67</v>
      </c>
      <c r="N130" s="13"/>
      <c r="O130" s="13"/>
    </row>
    <row r="131" customFormat="false" ht="15" hidden="false" customHeight="false" outlineLevel="0" collapsed="false">
      <c r="A131" s="9" t="s">
        <v>427</v>
      </c>
      <c r="B131" s="9" t="n">
        <v>3</v>
      </c>
      <c r="C131" s="10" t="n">
        <f aca="false">$B$4+16</f>
        <v>46337</v>
      </c>
      <c r="D131" s="9" t="s">
        <v>79</v>
      </c>
      <c r="E131" s="11" t="s">
        <v>39</v>
      </c>
      <c r="F131" s="11" t="s">
        <v>40</v>
      </c>
      <c r="G131" s="9" t="s">
        <v>134</v>
      </c>
      <c r="H131" s="11" t="s">
        <v>418</v>
      </c>
      <c r="I131" s="9" t="n">
        <v>5</v>
      </c>
      <c r="J131" s="11" t="s">
        <v>428</v>
      </c>
      <c r="K131" s="11"/>
      <c r="L131" s="11"/>
      <c r="M131" s="12" t="s">
        <v>67</v>
      </c>
      <c r="N131" s="13"/>
      <c r="O131" s="13"/>
    </row>
    <row r="132" customFormat="false" ht="15" hidden="false" customHeight="false" outlineLevel="0" collapsed="false">
      <c r="A132" s="9" t="s">
        <v>429</v>
      </c>
      <c r="B132" s="9" t="n">
        <v>3</v>
      </c>
      <c r="C132" s="10" t="n">
        <f aca="false">$B$4+16</f>
        <v>46337</v>
      </c>
      <c r="D132" s="9" t="s">
        <v>79</v>
      </c>
      <c r="E132" s="11" t="s">
        <v>39</v>
      </c>
      <c r="F132" s="11" t="s">
        <v>40</v>
      </c>
      <c r="G132" s="9" t="s">
        <v>134</v>
      </c>
      <c r="H132" s="11" t="s">
        <v>418</v>
      </c>
      <c r="I132" s="9" t="n">
        <v>6</v>
      </c>
      <c r="J132" s="11" t="s">
        <v>430</v>
      </c>
      <c r="K132" s="11"/>
      <c r="L132" s="11"/>
      <c r="M132" s="12" t="s">
        <v>67</v>
      </c>
      <c r="N132" s="13"/>
      <c r="O132" s="13"/>
    </row>
    <row r="133" customFormat="false" ht="15" hidden="false" customHeight="false" outlineLevel="0" collapsed="false">
      <c r="A133" s="9" t="s">
        <v>431</v>
      </c>
      <c r="B133" s="9" t="n">
        <v>3</v>
      </c>
      <c r="C133" s="10" t="n">
        <f aca="false">$B$4+17</f>
        <v>46338</v>
      </c>
      <c r="D133" s="9" t="s">
        <v>86</v>
      </c>
      <c r="E133" s="11" t="s">
        <v>39</v>
      </c>
      <c r="F133" s="11" t="s">
        <v>40</v>
      </c>
      <c r="G133" s="9" t="s">
        <v>134</v>
      </c>
      <c r="H133" s="11" t="s">
        <v>418</v>
      </c>
      <c r="I133" s="9" t="n">
        <v>7</v>
      </c>
      <c r="J133" s="11" t="s">
        <v>432</v>
      </c>
      <c r="K133" s="11"/>
      <c r="L133" s="11"/>
      <c r="M133" s="12" t="s">
        <v>67</v>
      </c>
      <c r="N133" s="13"/>
      <c r="O133" s="13"/>
    </row>
    <row r="134" customFormat="false" ht="15" hidden="false" customHeight="false" outlineLevel="0" collapsed="false">
      <c r="A134" s="9" t="s">
        <v>433</v>
      </c>
      <c r="B134" s="9" t="n">
        <v>3</v>
      </c>
      <c r="C134" s="10" t="n">
        <f aca="false">$B$4+17</f>
        <v>46338</v>
      </c>
      <c r="D134" s="9" t="s">
        <v>86</v>
      </c>
      <c r="E134" s="11" t="s">
        <v>39</v>
      </c>
      <c r="F134" s="11" t="s">
        <v>40</v>
      </c>
      <c r="G134" s="9" t="s">
        <v>134</v>
      </c>
      <c r="H134" s="11" t="s">
        <v>418</v>
      </c>
      <c r="I134" s="9" t="n">
        <v>8</v>
      </c>
      <c r="J134" s="11" t="s">
        <v>434</v>
      </c>
      <c r="K134" s="11"/>
      <c r="L134" s="11"/>
      <c r="M134" s="12" t="s">
        <v>67</v>
      </c>
      <c r="N134" s="13"/>
      <c r="O134" s="13"/>
    </row>
    <row r="135" customFormat="false" ht="15" hidden="false" customHeight="false" outlineLevel="0" collapsed="false">
      <c r="A135" s="9" t="s">
        <v>435</v>
      </c>
      <c r="B135" s="9" t="n">
        <v>3</v>
      </c>
      <c r="C135" s="10" t="n">
        <f aca="false">$B$4+18</f>
        <v>46339</v>
      </c>
      <c r="D135" s="9" t="s">
        <v>93</v>
      </c>
      <c r="E135" s="11" t="s">
        <v>39</v>
      </c>
      <c r="F135" s="11" t="s">
        <v>40</v>
      </c>
      <c r="G135" s="9" t="s">
        <v>134</v>
      </c>
      <c r="H135" s="11" t="s">
        <v>418</v>
      </c>
      <c r="I135" s="9" t="n">
        <v>9</v>
      </c>
      <c r="J135" s="11" t="s">
        <v>436</v>
      </c>
      <c r="K135" s="11"/>
      <c r="L135" s="11"/>
      <c r="M135" s="12" t="s">
        <v>67</v>
      </c>
      <c r="N135" s="13"/>
      <c r="O135" s="13"/>
    </row>
    <row r="136" customFormat="false" ht="15" hidden="false" customHeight="false" outlineLevel="0" collapsed="false">
      <c r="A136" s="9" t="s">
        <v>437</v>
      </c>
      <c r="B136" s="9" t="n">
        <v>3</v>
      </c>
      <c r="C136" s="10" t="n">
        <f aca="false">$B$4+18</f>
        <v>46339</v>
      </c>
      <c r="D136" s="9" t="s">
        <v>93</v>
      </c>
      <c r="E136" s="11" t="s">
        <v>39</v>
      </c>
      <c r="F136" s="11" t="s">
        <v>40</v>
      </c>
      <c r="G136" s="9" t="s">
        <v>134</v>
      </c>
      <c r="H136" s="11" t="s">
        <v>418</v>
      </c>
      <c r="I136" s="9" t="n">
        <v>10</v>
      </c>
      <c r="J136" s="11" t="s">
        <v>438</v>
      </c>
      <c r="K136" s="11"/>
      <c r="L136" s="11"/>
      <c r="M136" s="12" t="s">
        <v>67</v>
      </c>
      <c r="N136" s="13"/>
      <c r="O136" s="13"/>
    </row>
    <row r="137" customFormat="false" ht="15" hidden="false" customHeight="false" outlineLevel="0" collapsed="false">
      <c r="A137" s="9" t="s">
        <v>439</v>
      </c>
      <c r="B137" s="9" t="n">
        <v>3</v>
      </c>
      <c r="C137" s="10" t="n">
        <f aca="false">$B$4+14</f>
        <v>46335</v>
      </c>
      <c r="D137" s="9" t="s">
        <v>62</v>
      </c>
      <c r="E137" s="11" t="s">
        <v>41</v>
      </c>
      <c r="F137" s="11" t="s">
        <v>42</v>
      </c>
      <c r="G137" s="9" t="s">
        <v>306</v>
      </c>
      <c r="H137" s="11" t="s">
        <v>440</v>
      </c>
      <c r="I137" s="9" t="n">
        <v>1</v>
      </c>
      <c r="J137" s="11" t="s">
        <v>441</v>
      </c>
      <c r="K137" s="11"/>
      <c r="L137" s="11" t="s">
        <v>442</v>
      </c>
      <c r="M137" s="12" t="s">
        <v>67</v>
      </c>
      <c r="N137" s="13"/>
      <c r="O137" s="13"/>
    </row>
    <row r="138" customFormat="false" ht="15" hidden="false" customHeight="false" outlineLevel="0" collapsed="false">
      <c r="A138" s="9" t="s">
        <v>443</v>
      </c>
      <c r="B138" s="9" t="n">
        <v>3</v>
      </c>
      <c r="C138" s="10" t="n">
        <f aca="false">$B$4+14</f>
        <v>46335</v>
      </c>
      <c r="D138" s="9" t="s">
        <v>62</v>
      </c>
      <c r="E138" s="11" t="s">
        <v>41</v>
      </c>
      <c r="F138" s="11" t="s">
        <v>42</v>
      </c>
      <c r="G138" s="9" t="s">
        <v>306</v>
      </c>
      <c r="H138" s="11" t="s">
        <v>440</v>
      </c>
      <c r="I138" s="9" t="n">
        <v>2</v>
      </c>
      <c r="J138" s="11" t="s">
        <v>444</v>
      </c>
      <c r="K138" s="11"/>
      <c r="L138" s="11"/>
      <c r="M138" s="12" t="s">
        <v>67</v>
      </c>
      <c r="N138" s="13"/>
      <c r="O138" s="13"/>
    </row>
    <row r="139" customFormat="false" ht="15" hidden="false" customHeight="false" outlineLevel="0" collapsed="false">
      <c r="A139" s="9" t="s">
        <v>445</v>
      </c>
      <c r="B139" s="9" t="n">
        <v>3</v>
      </c>
      <c r="C139" s="10" t="n">
        <f aca="false">$B$4+15</f>
        <v>46336</v>
      </c>
      <c r="D139" s="9" t="s">
        <v>72</v>
      </c>
      <c r="E139" s="11" t="s">
        <v>41</v>
      </c>
      <c r="F139" s="11" t="s">
        <v>42</v>
      </c>
      <c r="G139" s="9" t="s">
        <v>306</v>
      </c>
      <c r="H139" s="11" t="s">
        <v>440</v>
      </c>
      <c r="I139" s="9" t="n">
        <v>3</v>
      </c>
      <c r="J139" s="11" t="s">
        <v>446</v>
      </c>
      <c r="K139" s="11" t="s">
        <v>447</v>
      </c>
      <c r="L139" s="11"/>
      <c r="M139" s="12" t="s">
        <v>67</v>
      </c>
      <c r="N139" s="13"/>
      <c r="O139" s="13"/>
    </row>
    <row r="140" customFormat="false" ht="15" hidden="false" customHeight="false" outlineLevel="0" collapsed="false">
      <c r="A140" s="9" t="s">
        <v>448</v>
      </c>
      <c r="B140" s="9" t="n">
        <v>3</v>
      </c>
      <c r="C140" s="10" t="n">
        <f aca="false">$B$4+15</f>
        <v>46336</v>
      </c>
      <c r="D140" s="9" t="s">
        <v>72</v>
      </c>
      <c r="E140" s="11" t="s">
        <v>41</v>
      </c>
      <c r="F140" s="11" t="s">
        <v>42</v>
      </c>
      <c r="G140" s="9" t="s">
        <v>306</v>
      </c>
      <c r="H140" s="11" t="s">
        <v>440</v>
      </c>
      <c r="I140" s="9" t="n">
        <v>4</v>
      </c>
      <c r="J140" s="11" t="s">
        <v>449</v>
      </c>
      <c r="K140" s="11"/>
      <c r="L140" s="11"/>
      <c r="M140" s="12" t="s">
        <v>67</v>
      </c>
      <c r="N140" s="13"/>
      <c r="O140" s="13"/>
    </row>
    <row r="141" customFormat="false" ht="15" hidden="false" customHeight="false" outlineLevel="0" collapsed="false">
      <c r="A141" s="9" t="s">
        <v>450</v>
      </c>
      <c r="B141" s="9" t="n">
        <v>3</v>
      </c>
      <c r="C141" s="10" t="n">
        <f aca="false">$B$4+16</f>
        <v>46337</v>
      </c>
      <c r="D141" s="9" t="s">
        <v>79</v>
      </c>
      <c r="E141" s="11" t="s">
        <v>41</v>
      </c>
      <c r="F141" s="11" t="s">
        <v>42</v>
      </c>
      <c r="G141" s="9" t="s">
        <v>306</v>
      </c>
      <c r="H141" s="11" t="s">
        <v>440</v>
      </c>
      <c r="I141" s="9" t="n">
        <v>5</v>
      </c>
      <c r="J141" s="11" t="s">
        <v>451</v>
      </c>
      <c r="K141" s="11" t="s">
        <v>452</v>
      </c>
      <c r="L141" s="11"/>
      <c r="M141" s="12" t="s">
        <v>67</v>
      </c>
      <c r="N141" s="13"/>
      <c r="O141" s="13"/>
    </row>
    <row r="142" customFormat="false" ht="15" hidden="false" customHeight="false" outlineLevel="0" collapsed="false">
      <c r="A142" s="9" t="s">
        <v>453</v>
      </c>
      <c r="B142" s="9" t="n">
        <v>3</v>
      </c>
      <c r="C142" s="10" t="n">
        <f aca="false">$B$4+16</f>
        <v>46337</v>
      </c>
      <c r="D142" s="9" t="s">
        <v>79</v>
      </c>
      <c r="E142" s="11" t="s">
        <v>41</v>
      </c>
      <c r="F142" s="11" t="s">
        <v>42</v>
      </c>
      <c r="G142" s="9" t="s">
        <v>306</v>
      </c>
      <c r="H142" s="11" t="s">
        <v>440</v>
      </c>
      <c r="I142" s="9" t="n">
        <v>6</v>
      </c>
      <c r="J142" s="11" t="s">
        <v>454</v>
      </c>
      <c r="K142" s="11"/>
      <c r="L142" s="11"/>
      <c r="M142" s="12" t="s">
        <v>67</v>
      </c>
      <c r="N142" s="13"/>
      <c r="O142" s="13"/>
    </row>
    <row r="143" customFormat="false" ht="15" hidden="false" customHeight="false" outlineLevel="0" collapsed="false">
      <c r="A143" s="9" t="s">
        <v>455</v>
      </c>
      <c r="B143" s="9" t="n">
        <v>3</v>
      </c>
      <c r="C143" s="10" t="n">
        <f aca="false">$B$4+17</f>
        <v>46338</v>
      </c>
      <c r="D143" s="9" t="s">
        <v>86</v>
      </c>
      <c r="E143" s="11" t="s">
        <v>41</v>
      </c>
      <c r="F143" s="11" t="s">
        <v>42</v>
      </c>
      <c r="G143" s="9" t="s">
        <v>306</v>
      </c>
      <c r="H143" s="11" t="s">
        <v>440</v>
      </c>
      <c r="I143" s="9" t="n">
        <v>7</v>
      </c>
      <c r="J143" s="11" t="s">
        <v>456</v>
      </c>
      <c r="K143" s="11" t="s">
        <v>457</v>
      </c>
      <c r="L143" s="11"/>
      <c r="M143" s="12" t="s">
        <v>67</v>
      </c>
      <c r="N143" s="13"/>
      <c r="O143" s="13"/>
    </row>
    <row r="144" customFormat="false" ht="15" hidden="false" customHeight="false" outlineLevel="0" collapsed="false">
      <c r="A144" s="9" t="s">
        <v>458</v>
      </c>
      <c r="B144" s="9" t="n">
        <v>3</v>
      </c>
      <c r="C144" s="10" t="n">
        <f aca="false">$B$4+17</f>
        <v>46338</v>
      </c>
      <c r="D144" s="9" t="s">
        <v>86</v>
      </c>
      <c r="E144" s="11" t="s">
        <v>41</v>
      </c>
      <c r="F144" s="11" t="s">
        <v>42</v>
      </c>
      <c r="G144" s="9" t="s">
        <v>306</v>
      </c>
      <c r="H144" s="11" t="s">
        <v>440</v>
      </c>
      <c r="I144" s="9" t="n">
        <v>8</v>
      </c>
      <c r="J144" s="11" t="s">
        <v>459</v>
      </c>
      <c r="K144" s="11" t="s">
        <v>460</v>
      </c>
      <c r="L144" s="11"/>
      <c r="M144" s="12" t="s">
        <v>67</v>
      </c>
      <c r="N144" s="13"/>
      <c r="O144" s="13"/>
    </row>
    <row r="145" customFormat="false" ht="15" hidden="false" customHeight="false" outlineLevel="0" collapsed="false">
      <c r="A145" s="9" t="s">
        <v>461</v>
      </c>
      <c r="B145" s="9" t="n">
        <v>3</v>
      </c>
      <c r="C145" s="10" t="n">
        <f aca="false">$B$4+18</f>
        <v>46339</v>
      </c>
      <c r="D145" s="9" t="s">
        <v>93</v>
      </c>
      <c r="E145" s="11" t="s">
        <v>41</v>
      </c>
      <c r="F145" s="11" t="s">
        <v>42</v>
      </c>
      <c r="G145" s="9" t="s">
        <v>306</v>
      </c>
      <c r="H145" s="11" t="s">
        <v>440</v>
      </c>
      <c r="I145" s="9" t="n">
        <v>9</v>
      </c>
      <c r="J145" s="11" t="s">
        <v>462</v>
      </c>
      <c r="K145" s="11"/>
      <c r="L145" s="11"/>
      <c r="M145" s="12" t="s">
        <v>67</v>
      </c>
      <c r="N145" s="13"/>
      <c r="O145" s="13"/>
    </row>
    <row r="146" customFormat="false" ht="15" hidden="false" customHeight="false" outlineLevel="0" collapsed="false">
      <c r="A146" s="9" t="s">
        <v>463</v>
      </c>
      <c r="B146" s="9" t="n">
        <v>3</v>
      </c>
      <c r="C146" s="10" t="n">
        <f aca="false">$B$4+18</f>
        <v>46339</v>
      </c>
      <c r="D146" s="9" t="s">
        <v>93</v>
      </c>
      <c r="E146" s="11" t="s">
        <v>41</v>
      </c>
      <c r="F146" s="11" t="s">
        <v>42</v>
      </c>
      <c r="G146" s="9" t="s">
        <v>306</v>
      </c>
      <c r="H146" s="11" t="s">
        <v>440</v>
      </c>
      <c r="I146" s="9" t="n">
        <v>10</v>
      </c>
      <c r="J146" s="11" t="s">
        <v>464</v>
      </c>
      <c r="K146" s="11"/>
      <c r="L146" s="11"/>
      <c r="M146" s="12" t="s">
        <v>67</v>
      </c>
      <c r="N146" s="13"/>
      <c r="O146" s="13"/>
    </row>
    <row r="147" customFormat="false" ht="15" hidden="false" customHeight="false" outlineLevel="0" collapsed="false">
      <c r="A147" s="9" t="s">
        <v>465</v>
      </c>
      <c r="B147" s="9" t="n">
        <v>3</v>
      </c>
      <c r="C147" s="10" t="n">
        <f aca="false">$B$4+14</f>
        <v>46335</v>
      </c>
      <c r="D147" s="9" t="s">
        <v>62</v>
      </c>
      <c r="E147" s="11" t="s">
        <v>43</v>
      </c>
      <c r="F147" s="11" t="s">
        <v>44</v>
      </c>
      <c r="G147" s="9" t="s">
        <v>187</v>
      </c>
      <c r="H147" s="11" t="s">
        <v>466</v>
      </c>
      <c r="I147" s="9" t="n">
        <v>1</v>
      </c>
      <c r="J147" s="11" t="s">
        <v>467</v>
      </c>
      <c r="K147" s="11" t="s">
        <v>468</v>
      </c>
      <c r="L147" s="11" t="s">
        <v>469</v>
      </c>
      <c r="M147" s="12" t="s">
        <v>67</v>
      </c>
      <c r="N147" s="13"/>
      <c r="O147" s="13"/>
    </row>
    <row r="148" customFormat="false" ht="15" hidden="false" customHeight="false" outlineLevel="0" collapsed="false">
      <c r="A148" s="9" t="s">
        <v>470</v>
      </c>
      <c r="B148" s="9" t="n">
        <v>3</v>
      </c>
      <c r="C148" s="10" t="n">
        <f aca="false">$B$4+14</f>
        <v>46335</v>
      </c>
      <c r="D148" s="9" t="s">
        <v>62</v>
      </c>
      <c r="E148" s="11" t="s">
        <v>43</v>
      </c>
      <c r="F148" s="11" t="s">
        <v>44</v>
      </c>
      <c r="G148" s="9" t="s">
        <v>187</v>
      </c>
      <c r="H148" s="11" t="s">
        <v>466</v>
      </c>
      <c r="I148" s="9" t="n">
        <v>2</v>
      </c>
      <c r="J148" s="11" t="s">
        <v>471</v>
      </c>
      <c r="K148" s="11" t="s">
        <v>472</v>
      </c>
      <c r="L148" s="11"/>
      <c r="M148" s="12" t="s">
        <v>67</v>
      </c>
      <c r="N148" s="13"/>
      <c r="O148" s="13"/>
    </row>
    <row r="149" customFormat="false" ht="15" hidden="false" customHeight="false" outlineLevel="0" collapsed="false">
      <c r="A149" s="9" t="s">
        <v>473</v>
      </c>
      <c r="B149" s="9" t="n">
        <v>3</v>
      </c>
      <c r="C149" s="10" t="n">
        <f aca="false">$B$4+15</f>
        <v>46336</v>
      </c>
      <c r="D149" s="9" t="s">
        <v>72</v>
      </c>
      <c r="E149" s="11" t="s">
        <v>43</v>
      </c>
      <c r="F149" s="11" t="s">
        <v>44</v>
      </c>
      <c r="G149" s="9" t="s">
        <v>187</v>
      </c>
      <c r="H149" s="11" t="s">
        <v>466</v>
      </c>
      <c r="I149" s="9" t="n">
        <v>3</v>
      </c>
      <c r="J149" s="11" t="s">
        <v>474</v>
      </c>
      <c r="K149" s="11"/>
      <c r="L149" s="11" t="s">
        <v>475</v>
      </c>
      <c r="M149" s="12" t="s">
        <v>67</v>
      </c>
      <c r="N149" s="13"/>
      <c r="O149" s="13"/>
    </row>
    <row r="150" customFormat="false" ht="15" hidden="false" customHeight="false" outlineLevel="0" collapsed="false">
      <c r="A150" s="9" t="s">
        <v>476</v>
      </c>
      <c r="B150" s="9" t="n">
        <v>3</v>
      </c>
      <c r="C150" s="10" t="n">
        <f aca="false">$B$4+15</f>
        <v>46336</v>
      </c>
      <c r="D150" s="9" t="s">
        <v>72</v>
      </c>
      <c r="E150" s="11" t="s">
        <v>43</v>
      </c>
      <c r="F150" s="11" t="s">
        <v>44</v>
      </c>
      <c r="G150" s="9" t="s">
        <v>187</v>
      </c>
      <c r="H150" s="11" t="s">
        <v>466</v>
      </c>
      <c r="I150" s="9" t="n">
        <v>4</v>
      </c>
      <c r="J150" s="11" t="s">
        <v>477</v>
      </c>
      <c r="K150" s="11"/>
      <c r="L150" s="11"/>
      <c r="M150" s="12" t="s">
        <v>67</v>
      </c>
      <c r="N150" s="13"/>
      <c r="O150" s="13"/>
    </row>
    <row r="151" customFormat="false" ht="15" hidden="false" customHeight="false" outlineLevel="0" collapsed="false">
      <c r="A151" s="9" t="s">
        <v>478</v>
      </c>
      <c r="B151" s="9" t="n">
        <v>3</v>
      </c>
      <c r="C151" s="10" t="n">
        <f aca="false">$B$4+16</f>
        <v>46337</v>
      </c>
      <c r="D151" s="9" t="s">
        <v>79</v>
      </c>
      <c r="E151" s="11" t="s">
        <v>43</v>
      </c>
      <c r="F151" s="11" t="s">
        <v>44</v>
      </c>
      <c r="G151" s="9" t="s">
        <v>187</v>
      </c>
      <c r="H151" s="11" t="s">
        <v>466</v>
      </c>
      <c r="I151" s="9" t="n">
        <v>5</v>
      </c>
      <c r="J151" s="11" t="s">
        <v>479</v>
      </c>
      <c r="K151" s="11"/>
      <c r="L151" s="11"/>
      <c r="M151" s="12" t="s">
        <v>67</v>
      </c>
      <c r="N151" s="13"/>
      <c r="O151" s="13"/>
    </row>
    <row r="152" customFormat="false" ht="15" hidden="false" customHeight="false" outlineLevel="0" collapsed="false">
      <c r="A152" s="9" t="s">
        <v>480</v>
      </c>
      <c r="B152" s="9" t="n">
        <v>3</v>
      </c>
      <c r="C152" s="10" t="n">
        <f aca="false">$B$4+16</f>
        <v>46337</v>
      </c>
      <c r="D152" s="9" t="s">
        <v>79</v>
      </c>
      <c r="E152" s="11" t="s">
        <v>43</v>
      </c>
      <c r="F152" s="11" t="s">
        <v>44</v>
      </c>
      <c r="G152" s="9" t="s">
        <v>187</v>
      </c>
      <c r="H152" s="11" t="s">
        <v>466</v>
      </c>
      <c r="I152" s="9" t="n">
        <v>6</v>
      </c>
      <c r="J152" s="11" t="s">
        <v>481</v>
      </c>
      <c r="K152" s="11"/>
      <c r="L152" s="11"/>
      <c r="M152" s="12" t="s">
        <v>67</v>
      </c>
      <c r="N152" s="13"/>
      <c r="O152" s="13"/>
    </row>
    <row r="153" customFormat="false" ht="15" hidden="false" customHeight="false" outlineLevel="0" collapsed="false">
      <c r="A153" s="9" t="s">
        <v>482</v>
      </c>
      <c r="B153" s="9" t="n">
        <v>3</v>
      </c>
      <c r="C153" s="10" t="n">
        <f aca="false">$B$4+17</f>
        <v>46338</v>
      </c>
      <c r="D153" s="9" t="s">
        <v>86</v>
      </c>
      <c r="E153" s="11" t="s">
        <v>43</v>
      </c>
      <c r="F153" s="11" t="s">
        <v>44</v>
      </c>
      <c r="G153" s="9" t="s">
        <v>187</v>
      </c>
      <c r="H153" s="11" t="s">
        <v>466</v>
      </c>
      <c r="I153" s="9" t="n">
        <v>7</v>
      </c>
      <c r="J153" s="11" t="s">
        <v>483</v>
      </c>
      <c r="K153" s="11"/>
      <c r="L153" s="11"/>
      <c r="M153" s="12" t="s">
        <v>67</v>
      </c>
      <c r="N153" s="13"/>
      <c r="O153" s="13"/>
    </row>
    <row r="154" customFormat="false" ht="15" hidden="false" customHeight="false" outlineLevel="0" collapsed="false">
      <c r="A154" s="9" t="s">
        <v>484</v>
      </c>
      <c r="B154" s="9" t="n">
        <v>3</v>
      </c>
      <c r="C154" s="10" t="n">
        <f aca="false">$B$4+17</f>
        <v>46338</v>
      </c>
      <c r="D154" s="9" t="s">
        <v>86</v>
      </c>
      <c r="E154" s="11" t="s">
        <v>43</v>
      </c>
      <c r="F154" s="11" t="s">
        <v>44</v>
      </c>
      <c r="G154" s="9" t="s">
        <v>187</v>
      </c>
      <c r="H154" s="11" t="s">
        <v>466</v>
      </c>
      <c r="I154" s="9" t="n">
        <v>8</v>
      </c>
      <c r="J154" s="11" t="s">
        <v>485</v>
      </c>
      <c r="K154" s="11"/>
      <c r="L154" s="11"/>
      <c r="M154" s="12" t="s">
        <v>67</v>
      </c>
      <c r="N154" s="13"/>
      <c r="O154" s="13"/>
    </row>
    <row r="155" customFormat="false" ht="15" hidden="false" customHeight="false" outlineLevel="0" collapsed="false">
      <c r="A155" s="9" t="s">
        <v>486</v>
      </c>
      <c r="B155" s="9" t="n">
        <v>3</v>
      </c>
      <c r="C155" s="10" t="n">
        <f aca="false">$B$4+18</f>
        <v>46339</v>
      </c>
      <c r="D155" s="9" t="s">
        <v>93</v>
      </c>
      <c r="E155" s="11" t="s">
        <v>43</v>
      </c>
      <c r="F155" s="11" t="s">
        <v>44</v>
      </c>
      <c r="G155" s="9" t="s">
        <v>187</v>
      </c>
      <c r="H155" s="11" t="s">
        <v>466</v>
      </c>
      <c r="I155" s="9" t="n">
        <v>9</v>
      </c>
      <c r="J155" s="11" t="s">
        <v>487</v>
      </c>
      <c r="K155" s="11"/>
      <c r="L155" s="11"/>
      <c r="M155" s="12" t="s">
        <v>67</v>
      </c>
      <c r="N155" s="13"/>
      <c r="O155" s="13"/>
    </row>
    <row r="156" customFormat="false" ht="15" hidden="false" customHeight="false" outlineLevel="0" collapsed="false">
      <c r="A156" s="9" t="s">
        <v>488</v>
      </c>
      <c r="B156" s="9" t="n">
        <v>3</v>
      </c>
      <c r="C156" s="10" t="n">
        <f aca="false">$B$4+18</f>
        <v>46339</v>
      </c>
      <c r="D156" s="9" t="s">
        <v>93</v>
      </c>
      <c r="E156" s="11" t="s">
        <v>43</v>
      </c>
      <c r="F156" s="11" t="s">
        <v>44</v>
      </c>
      <c r="G156" s="9" t="s">
        <v>187</v>
      </c>
      <c r="H156" s="11" t="s">
        <v>466</v>
      </c>
      <c r="I156" s="9" t="n">
        <v>10</v>
      </c>
      <c r="J156" s="11" t="s">
        <v>489</v>
      </c>
      <c r="K156" s="11"/>
      <c r="L156" s="11"/>
      <c r="M156" s="12" t="s">
        <v>67</v>
      </c>
      <c r="N156" s="13"/>
      <c r="O156" s="13"/>
    </row>
    <row r="157" customFormat="false" ht="23.85" hidden="false" customHeight="false" outlineLevel="0" collapsed="false">
      <c r="A157" s="14" t="s">
        <v>490</v>
      </c>
      <c r="B157" s="14" t="n">
        <v>4</v>
      </c>
      <c r="C157" s="15" t="n">
        <f aca="false">$B$4+21</f>
        <v>46342</v>
      </c>
      <c r="D157" s="14" t="s">
        <v>62</v>
      </c>
      <c r="E157" s="16" t="s">
        <v>35</v>
      </c>
      <c r="F157" s="16" t="s">
        <v>36</v>
      </c>
      <c r="G157" s="14" t="s">
        <v>187</v>
      </c>
      <c r="H157" s="16" t="s">
        <v>491</v>
      </c>
      <c r="I157" s="14" t="n">
        <v>1</v>
      </c>
      <c r="J157" s="16" t="s">
        <v>492</v>
      </c>
      <c r="K157" s="16" t="s">
        <v>493</v>
      </c>
      <c r="L157" s="16" t="s">
        <v>494</v>
      </c>
      <c r="M157" s="12" t="s">
        <v>67</v>
      </c>
      <c r="N157" s="13"/>
      <c r="O157" s="13"/>
    </row>
    <row r="158" customFormat="false" ht="23.85" hidden="false" customHeight="false" outlineLevel="0" collapsed="false">
      <c r="A158" s="14" t="s">
        <v>495</v>
      </c>
      <c r="B158" s="14" t="n">
        <v>4</v>
      </c>
      <c r="C158" s="15" t="n">
        <f aca="false">$B$4+21</f>
        <v>46342</v>
      </c>
      <c r="D158" s="14" t="s">
        <v>62</v>
      </c>
      <c r="E158" s="16" t="s">
        <v>35</v>
      </c>
      <c r="F158" s="16" t="s">
        <v>36</v>
      </c>
      <c r="G158" s="14" t="s">
        <v>187</v>
      </c>
      <c r="H158" s="16" t="s">
        <v>491</v>
      </c>
      <c r="I158" s="14" t="n">
        <v>2</v>
      </c>
      <c r="J158" s="16" t="s">
        <v>496</v>
      </c>
      <c r="K158" s="16" t="s">
        <v>497</v>
      </c>
      <c r="L158" s="16"/>
      <c r="M158" s="12" t="s">
        <v>67</v>
      </c>
      <c r="N158" s="13"/>
      <c r="O158" s="13"/>
    </row>
    <row r="159" customFormat="false" ht="23.85" hidden="false" customHeight="false" outlineLevel="0" collapsed="false">
      <c r="A159" s="14" t="s">
        <v>498</v>
      </c>
      <c r="B159" s="14" t="n">
        <v>4</v>
      </c>
      <c r="C159" s="15" t="n">
        <f aca="false">$B$4+22</f>
        <v>46343</v>
      </c>
      <c r="D159" s="14" t="s">
        <v>72</v>
      </c>
      <c r="E159" s="16" t="s">
        <v>35</v>
      </c>
      <c r="F159" s="16" t="s">
        <v>36</v>
      </c>
      <c r="G159" s="14" t="s">
        <v>187</v>
      </c>
      <c r="H159" s="16" t="s">
        <v>491</v>
      </c>
      <c r="I159" s="14" t="n">
        <v>3</v>
      </c>
      <c r="J159" s="16" t="s">
        <v>499</v>
      </c>
      <c r="K159" s="16" t="s">
        <v>500</v>
      </c>
      <c r="L159" s="16"/>
      <c r="M159" s="12" t="s">
        <v>67</v>
      </c>
      <c r="N159" s="13"/>
      <c r="O159" s="13"/>
    </row>
    <row r="160" customFormat="false" ht="23.85" hidden="false" customHeight="false" outlineLevel="0" collapsed="false">
      <c r="A160" s="14" t="s">
        <v>501</v>
      </c>
      <c r="B160" s="14" t="n">
        <v>4</v>
      </c>
      <c r="C160" s="15" t="n">
        <f aca="false">$B$4+22</f>
        <v>46343</v>
      </c>
      <c r="D160" s="14" t="s">
        <v>72</v>
      </c>
      <c r="E160" s="16" t="s">
        <v>35</v>
      </c>
      <c r="F160" s="16" t="s">
        <v>36</v>
      </c>
      <c r="G160" s="14" t="s">
        <v>187</v>
      </c>
      <c r="H160" s="16" t="s">
        <v>491</v>
      </c>
      <c r="I160" s="14" t="n">
        <v>4</v>
      </c>
      <c r="J160" s="16" t="s">
        <v>502</v>
      </c>
      <c r="K160" s="16" t="s">
        <v>503</v>
      </c>
      <c r="L160" s="16"/>
      <c r="M160" s="12" t="s">
        <v>67</v>
      </c>
      <c r="N160" s="13"/>
      <c r="O160" s="13"/>
    </row>
    <row r="161" customFormat="false" ht="23.85" hidden="false" customHeight="false" outlineLevel="0" collapsed="false">
      <c r="A161" s="14" t="s">
        <v>504</v>
      </c>
      <c r="B161" s="14" t="n">
        <v>4</v>
      </c>
      <c r="C161" s="15" t="n">
        <f aca="false">$B$4+23</f>
        <v>46344</v>
      </c>
      <c r="D161" s="14" t="s">
        <v>79</v>
      </c>
      <c r="E161" s="16" t="s">
        <v>35</v>
      </c>
      <c r="F161" s="16" t="s">
        <v>36</v>
      </c>
      <c r="G161" s="14" t="s">
        <v>187</v>
      </c>
      <c r="H161" s="16" t="s">
        <v>491</v>
      </c>
      <c r="I161" s="14" t="n">
        <v>5</v>
      </c>
      <c r="J161" s="16" t="s">
        <v>505</v>
      </c>
      <c r="K161" s="16" t="s">
        <v>506</v>
      </c>
      <c r="L161" s="16"/>
      <c r="M161" s="12" t="s">
        <v>67</v>
      </c>
      <c r="N161" s="13"/>
      <c r="O161" s="13"/>
    </row>
    <row r="162" customFormat="false" ht="23.85" hidden="false" customHeight="false" outlineLevel="0" collapsed="false">
      <c r="A162" s="14" t="s">
        <v>507</v>
      </c>
      <c r="B162" s="14" t="n">
        <v>4</v>
      </c>
      <c r="C162" s="15" t="n">
        <f aca="false">$B$4+23</f>
        <v>46344</v>
      </c>
      <c r="D162" s="14" t="s">
        <v>79</v>
      </c>
      <c r="E162" s="16" t="s">
        <v>35</v>
      </c>
      <c r="F162" s="16" t="s">
        <v>36</v>
      </c>
      <c r="G162" s="14" t="s">
        <v>187</v>
      </c>
      <c r="H162" s="16" t="s">
        <v>491</v>
      </c>
      <c r="I162" s="14" t="n">
        <v>6</v>
      </c>
      <c r="J162" s="16" t="s">
        <v>508</v>
      </c>
      <c r="K162" s="16" t="s">
        <v>509</v>
      </c>
      <c r="L162" s="16" t="s">
        <v>510</v>
      </c>
      <c r="M162" s="12" t="s">
        <v>67</v>
      </c>
      <c r="N162" s="13"/>
      <c r="O162" s="13"/>
    </row>
    <row r="163" customFormat="false" ht="23.85" hidden="false" customHeight="false" outlineLevel="0" collapsed="false">
      <c r="A163" s="14" t="s">
        <v>511</v>
      </c>
      <c r="B163" s="14" t="n">
        <v>4</v>
      </c>
      <c r="C163" s="15" t="n">
        <f aca="false">$B$4+24</f>
        <v>46345</v>
      </c>
      <c r="D163" s="14" t="s">
        <v>86</v>
      </c>
      <c r="E163" s="16" t="s">
        <v>35</v>
      </c>
      <c r="F163" s="16" t="s">
        <v>36</v>
      </c>
      <c r="G163" s="14" t="s">
        <v>187</v>
      </c>
      <c r="H163" s="16" t="s">
        <v>491</v>
      </c>
      <c r="I163" s="14" t="n">
        <v>7</v>
      </c>
      <c r="J163" s="16" t="s">
        <v>512</v>
      </c>
      <c r="K163" s="16" t="s">
        <v>513</v>
      </c>
      <c r="L163" s="16" t="s">
        <v>514</v>
      </c>
      <c r="M163" s="12" t="s">
        <v>67</v>
      </c>
      <c r="N163" s="13"/>
      <c r="O163" s="13"/>
    </row>
    <row r="164" customFormat="false" ht="23.85" hidden="false" customHeight="false" outlineLevel="0" collapsed="false">
      <c r="A164" s="14" t="s">
        <v>515</v>
      </c>
      <c r="B164" s="14" t="n">
        <v>4</v>
      </c>
      <c r="C164" s="15" t="n">
        <f aca="false">$B$4+24</f>
        <v>46345</v>
      </c>
      <c r="D164" s="14" t="s">
        <v>86</v>
      </c>
      <c r="E164" s="16" t="s">
        <v>35</v>
      </c>
      <c r="F164" s="16" t="s">
        <v>36</v>
      </c>
      <c r="G164" s="14" t="s">
        <v>187</v>
      </c>
      <c r="H164" s="16" t="s">
        <v>491</v>
      </c>
      <c r="I164" s="14" t="n">
        <v>8</v>
      </c>
      <c r="J164" s="16" t="s">
        <v>516</v>
      </c>
      <c r="K164" s="16" t="s">
        <v>517</v>
      </c>
      <c r="L164" s="16"/>
      <c r="M164" s="12" t="s">
        <v>67</v>
      </c>
      <c r="N164" s="13"/>
      <c r="O164" s="13"/>
    </row>
    <row r="165" customFormat="false" ht="23.85" hidden="false" customHeight="false" outlineLevel="0" collapsed="false">
      <c r="A165" s="14" t="s">
        <v>518</v>
      </c>
      <c r="B165" s="14" t="n">
        <v>4</v>
      </c>
      <c r="C165" s="15" t="n">
        <f aca="false">$B$4+25</f>
        <v>46346</v>
      </c>
      <c r="D165" s="14" t="s">
        <v>93</v>
      </c>
      <c r="E165" s="16" t="s">
        <v>35</v>
      </c>
      <c r="F165" s="16" t="s">
        <v>36</v>
      </c>
      <c r="G165" s="14" t="s">
        <v>187</v>
      </c>
      <c r="H165" s="16" t="s">
        <v>491</v>
      </c>
      <c r="I165" s="14" t="n">
        <v>9</v>
      </c>
      <c r="J165" s="16" t="s">
        <v>519</v>
      </c>
      <c r="K165" s="16" t="s">
        <v>520</v>
      </c>
      <c r="L165" s="16"/>
      <c r="M165" s="12" t="s">
        <v>67</v>
      </c>
      <c r="N165" s="13"/>
      <c r="O165" s="13"/>
    </row>
    <row r="166" customFormat="false" ht="23.85" hidden="false" customHeight="false" outlineLevel="0" collapsed="false">
      <c r="A166" s="14" t="s">
        <v>521</v>
      </c>
      <c r="B166" s="14" t="n">
        <v>4</v>
      </c>
      <c r="C166" s="15" t="n">
        <f aca="false">$B$4+25</f>
        <v>46346</v>
      </c>
      <c r="D166" s="14" t="s">
        <v>93</v>
      </c>
      <c r="E166" s="16" t="s">
        <v>35</v>
      </c>
      <c r="F166" s="16" t="s">
        <v>36</v>
      </c>
      <c r="G166" s="14" t="s">
        <v>187</v>
      </c>
      <c r="H166" s="16" t="s">
        <v>491</v>
      </c>
      <c r="I166" s="14" t="n">
        <v>10</v>
      </c>
      <c r="J166" s="16" t="s">
        <v>522</v>
      </c>
      <c r="K166" s="16" t="s">
        <v>523</v>
      </c>
      <c r="L166" s="16"/>
      <c r="M166" s="12" t="s">
        <v>67</v>
      </c>
      <c r="N166" s="13"/>
      <c r="O166" s="13"/>
    </row>
    <row r="167" customFormat="false" ht="15" hidden="false" customHeight="false" outlineLevel="0" collapsed="false">
      <c r="A167" s="14" t="s">
        <v>524</v>
      </c>
      <c r="B167" s="14" t="n">
        <v>4</v>
      </c>
      <c r="C167" s="15" t="n">
        <f aca="false">$B$4+21</f>
        <v>46342</v>
      </c>
      <c r="D167" s="14" t="s">
        <v>62</v>
      </c>
      <c r="E167" s="16" t="s">
        <v>37</v>
      </c>
      <c r="F167" s="16" t="s">
        <v>38</v>
      </c>
      <c r="G167" s="14" t="s">
        <v>306</v>
      </c>
      <c r="H167" s="16" t="s">
        <v>525</v>
      </c>
      <c r="I167" s="14" t="n">
        <v>1</v>
      </c>
      <c r="J167" s="16" t="s">
        <v>526</v>
      </c>
      <c r="K167" s="16" t="s">
        <v>527</v>
      </c>
      <c r="L167" s="16" t="s">
        <v>528</v>
      </c>
      <c r="M167" s="12" t="s">
        <v>67</v>
      </c>
      <c r="N167" s="13"/>
      <c r="O167" s="13"/>
    </row>
    <row r="168" customFormat="false" ht="15" hidden="false" customHeight="false" outlineLevel="0" collapsed="false">
      <c r="A168" s="14" t="s">
        <v>529</v>
      </c>
      <c r="B168" s="14" t="n">
        <v>4</v>
      </c>
      <c r="C168" s="15" t="n">
        <f aca="false">$B$4+21</f>
        <v>46342</v>
      </c>
      <c r="D168" s="14" t="s">
        <v>62</v>
      </c>
      <c r="E168" s="16" t="s">
        <v>37</v>
      </c>
      <c r="F168" s="16" t="s">
        <v>38</v>
      </c>
      <c r="G168" s="14" t="s">
        <v>306</v>
      </c>
      <c r="H168" s="16" t="s">
        <v>525</v>
      </c>
      <c r="I168" s="14" t="n">
        <v>2</v>
      </c>
      <c r="J168" s="16" t="s">
        <v>530</v>
      </c>
      <c r="K168" s="16"/>
      <c r="L168" s="16"/>
      <c r="M168" s="12" t="s">
        <v>67</v>
      </c>
      <c r="N168" s="13"/>
      <c r="O168" s="13"/>
    </row>
    <row r="169" customFormat="false" ht="15" hidden="false" customHeight="false" outlineLevel="0" collapsed="false">
      <c r="A169" s="14" t="s">
        <v>531</v>
      </c>
      <c r="B169" s="14" t="n">
        <v>4</v>
      </c>
      <c r="C169" s="15" t="n">
        <f aca="false">$B$4+22</f>
        <v>46343</v>
      </c>
      <c r="D169" s="14" t="s">
        <v>72</v>
      </c>
      <c r="E169" s="16" t="s">
        <v>37</v>
      </c>
      <c r="F169" s="16" t="s">
        <v>38</v>
      </c>
      <c r="G169" s="14" t="s">
        <v>306</v>
      </c>
      <c r="H169" s="16" t="s">
        <v>525</v>
      </c>
      <c r="I169" s="14" t="n">
        <v>3</v>
      </c>
      <c r="J169" s="16" t="s">
        <v>532</v>
      </c>
      <c r="K169" s="16" t="s">
        <v>533</v>
      </c>
      <c r="L169" s="16"/>
      <c r="M169" s="12" t="s">
        <v>67</v>
      </c>
      <c r="N169" s="13"/>
      <c r="O169" s="13"/>
    </row>
    <row r="170" customFormat="false" ht="15" hidden="false" customHeight="false" outlineLevel="0" collapsed="false">
      <c r="A170" s="14" t="s">
        <v>534</v>
      </c>
      <c r="B170" s="14" t="n">
        <v>4</v>
      </c>
      <c r="C170" s="15" t="n">
        <f aca="false">$B$4+22</f>
        <v>46343</v>
      </c>
      <c r="D170" s="14" t="s">
        <v>72</v>
      </c>
      <c r="E170" s="16" t="s">
        <v>37</v>
      </c>
      <c r="F170" s="16" t="s">
        <v>38</v>
      </c>
      <c r="G170" s="14" t="s">
        <v>306</v>
      </c>
      <c r="H170" s="16" t="s">
        <v>525</v>
      </c>
      <c r="I170" s="14" t="n">
        <v>4</v>
      </c>
      <c r="J170" s="16" t="s">
        <v>535</v>
      </c>
      <c r="K170" s="16" t="s">
        <v>536</v>
      </c>
      <c r="L170" s="16"/>
      <c r="M170" s="12" t="s">
        <v>67</v>
      </c>
      <c r="N170" s="13"/>
      <c r="O170" s="13"/>
    </row>
    <row r="171" customFormat="false" ht="15" hidden="false" customHeight="false" outlineLevel="0" collapsed="false">
      <c r="A171" s="14" t="s">
        <v>537</v>
      </c>
      <c r="B171" s="14" t="n">
        <v>4</v>
      </c>
      <c r="C171" s="15" t="n">
        <f aca="false">$B$4+23</f>
        <v>46344</v>
      </c>
      <c r="D171" s="14" t="s">
        <v>79</v>
      </c>
      <c r="E171" s="16" t="s">
        <v>37</v>
      </c>
      <c r="F171" s="16" t="s">
        <v>38</v>
      </c>
      <c r="G171" s="14" t="s">
        <v>306</v>
      </c>
      <c r="H171" s="16" t="s">
        <v>525</v>
      </c>
      <c r="I171" s="14" t="n">
        <v>5</v>
      </c>
      <c r="J171" s="16" t="s">
        <v>538</v>
      </c>
      <c r="K171" s="16" t="s">
        <v>539</v>
      </c>
      <c r="L171" s="16"/>
      <c r="M171" s="12" t="s">
        <v>67</v>
      </c>
      <c r="N171" s="13"/>
      <c r="O171" s="13"/>
    </row>
    <row r="172" customFormat="false" ht="15" hidden="false" customHeight="false" outlineLevel="0" collapsed="false">
      <c r="A172" s="14" t="s">
        <v>540</v>
      </c>
      <c r="B172" s="14" t="n">
        <v>4</v>
      </c>
      <c r="C172" s="15" t="n">
        <f aca="false">$B$4+23</f>
        <v>46344</v>
      </c>
      <c r="D172" s="14" t="s">
        <v>79</v>
      </c>
      <c r="E172" s="16" t="s">
        <v>37</v>
      </c>
      <c r="F172" s="16" t="s">
        <v>38</v>
      </c>
      <c r="G172" s="14" t="s">
        <v>306</v>
      </c>
      <c r="H172" s="16" t="s">
        <v>525</v>
      </c>
      <c r="I172" s="14" t="n">
        <v>6</v>
      </c>
      <c r="J172" s="16" t="s">
        <v>541</v>
      </c>
      <c r="K172" s="16" t="s">
        <v>542</v>
      </c>
      <c r="L172" s="16"/>
      <c r="M172" s="12" t="s">
        <v>67</v>
      </c>
      <c r="N172" s="13"/>
      <c r="O172" s="13"/>
    </row>
    <row r="173" customFormat="false" ht="15" hidden="false" customHeight="false" outlineLevel="0" collapsed="false">
      <c r="A173" s="14" t="s">
        <v>543</v>
      </c>
      <c r="B173" s="14" t="n">
        <v>4</v>
      </c>
      <c r="C173" s="15" t="n">
        <f aca="false">$B$4+24</f>
        <v>46345</v>
      </c>
      <c r="D173" s="14" t="s">
        <v>86</v>
      </c>
      <c r="E173" s="16" t="s">
        <v>37</v>
      </c>
      <c r="F173" s="16" t="s">
        <v>38</v>
      </c>
      <c r="G173" s="14" t="s">
        <v>306</v>
      </c>
      <c r="H173" s="16" t="s">
        <v>525</v>
      </c>
      <c r="I173" s="14" t="n">
        <v>7</v>
      </c>
      <c r="J173" s="16" t="s">
        <v>544</v>
      </c>
      <c r="K173" s="16" t="s">
        <v>545</v>
      </c>
      <c r="L173" s="16"/>
      <c r="M173" s="12" t="s">
        <v>67</v>
      </c>
      <c r="N173" s="13"/>
      <c r="O173" s="13"/>
    </row>
    <row r="174" customFormat="false" ht="15" hidden="false" customHeight="false" outlineLevel="0" collapsed="false">
      <c r="A174" s="14" t="s">
        <v>546</v>
      </c>
      <c r="B174" s="14" t="n">
        <v>4</v>
      </c>
      <c r="C174" s="15" t="n">
        <f aca="false">$B$4+24</f>
        <v>46345</v>
      </c>
      <c r="D174" s="14" t="s">
        <v>86</v>
      </c>
      <c r="E174" s="16" t="s">
        <v>37</v>
      </c>
      <c r="F174" s="16" t="s">
        <v>38</v>
      </c>
      <c r="G174" s="14" t="s">
        <v>306</v>
      </c>
      <c r="H174" s="16" t="s">
        <v>525</v>
      </c>
      <c r="I174" s="14" t="n">
        <v>8</v>
      </c>
      <c r="J174" s="16" t="s">
        <v>547</v>
      </c>
      <c r="K174" s="16" t="s">
        <v>548</v>
      </c>
      <c r="L174" s="16" t="s">
        <v>549</v>
      </c>
      <c r="M174" s="12" t="s">
        <v>67</v>
      </c>
      <c r="N174" s="13"/>
      <c r="O174" s="13"/>
    </row>
    <row r="175" customFormat="false" ht="15" hidden="false" customHeight="false" outlineLevel="0" collapsed="false">
      <c r="A175" s="14" t="s">
        <v>550</v>
      </c>
      <c r="B175" s="14" t="n">
        <v>4</v>
      </c>
      <c r="C175" s="15" t="n">
        <f aca="false">$B$4+25</f>
        <v>46346</v>
      </c>
      <c r="D175" s="14" t="s">
        <v>93</v>
      </c>
      <c r="E175" s="16" t="s">
        <v>37</v>
      </c>
      <c r="F175" s="16" t="s">
        <v>38</v>
      </c>
      <c r="G175" s="14" t="s">
        <v>306</v>
      </c>
      <c r="H175" s="16" t="s">
        <v>525</v>
      </c>
      <c r="I175" s="14" t="n">
        <v>9</v>
      </c>
      <c r="J175" s="16" t="s">
        <v>551</v>
      </c>
      <c r="K175" s="16" t="s">
        <v>552</v>
      </c>
      <c r="L175" s="16"/>
      <c r="M175" s="12" t="s">
        <v>67</v>
      </c>
      <c r="N175" s="13"/>
      <c r="O175" s="13"/>
    </row>
    <row r="176" customFormat="false" ht="15" hidden="false" customHeight="false" outlineLevel="0" collapsed="false">
      <c r="A176" s="14" t="s">
        <v>553</v>
      </c>
      <c r="B176" s="14" t="n">
        <v>4</v>
      </c>
      <c r="C176" s="15" t="n">
        <f aca="false">$B$4+25</f>
        <v>46346</v>
      </c>
      <c r="D176" s="14" t="s">
        <v>93</v>
      </c>
      <c r="E176" s="16" t="s">
        <v>37</v>
      </c>
      <c r="F176" s="16" t="s">
        <v>38</v>
      </c>
      <c r="G176" s="14" t="s">
        <v>306</v>
      </c>
      <c r="H176" s="16" t="s">
        <v>525</v>
      </c>
      <c r="I176" s="14" t="n">
        <v>10</v>
      </c>
      <c r="J176" s="16" t="s">
        <v>554</v>
      </c>
      <c r="K176" s="16" t="s">
        <v>555</v>
      </c>
      <c r="L176" s="16"/>
      <c r="M176" s="12" t="s">
        <v>67</v>
      </c>
      <c r="N176" s="13"/>
      <c r="O176" s="13"/>
    </row>
    <row r="177" customFormat="false" ht="15" hidden="false" customHeight="false" outlineLevel="0" collapsed="false">
      <c r="A177" s="14" t="s">
        <v>556</v>
      </c>
      <c r="B177" s="14" t="n">
        <v>4</v>
      </c>
      <c r="C177" s="15" t="n">
        <f aca="false">$B$4+21</f>
        <v>46342</v>
      </c>
      <c r="D177" s="14" t="s">
        <v>62</v>
      </c>
      <c r="E177" s="16" t="s">
        <v>39</v>
      </c>
      <c r="F177" s="16" t="s">
        <v>40</v>
      </c>
      <c r="G177" s="14" t="s">
        <v>134</v>
      </c>
      <c r="H177" s="16" t="s">
        <v>557</v>
      </c>
      <c r="I177" s="14" t="n">
        <v>1</v>
      </c>
      <c r="J177" s="16" t="s">
        <v>558</v>
      </c>
      <c r="K177" s="16" t="s">
        <v>559</v>
      </c>
      <c r="L177" s="16"/>
      <c r="M177" s="12" t="s">
        <v>67</v>
      </c>
      <c r="N177" s="13"/>
      <c r="O177" s="13"/>
    </row>
    <row r="178" customFormat="false" ht="23.85" hidden="false" customHeight="false" outlineLevel="0" collapsed="false">
      <c r="A178" s="14" t="s">
        <v>560</v>
      </c>
      <c r="B178" s="14" t="n">
        <v>4</v>
      </c>
      <c r="C178" s="15" t="n">
        <f aca="false">$B$4+21</f>
        <v>46342</v>
      </c>
      <c r="D178" s="14" t="s">
        <v>62</v>
      </c>
      <c r="E178" s="16" t="s">
        <v>39</v>
      </c>
      <c r="F178" s="16" t="s">
        <v>40</v>
      </c>
      <c r="G178" s="14" t="s">
        <v>134</v>
      </c>
      <c r="H178" s="16" t="s">
        <v>557</v>
      </c>
      <c r="I178" s="14" t="n">
        <v>2</v>
      </c>
      <c r="J178" s="16" t="s">
        <v>561</v>
      </c>
      <c r="K178" s="16" t="s">
        <v>562</v>
      </c>
      <c r="L178" s="16" t="s">
        <v>563</v>
      </c>
      <c r="M178" s="12" t="s">
        <v>67</v>
      </c>
      <c r="N178" s="13"/>
      <c r="O178" s="13"/>
    </row>
    <row r="179" customFormat="false" ht="15" hidden="false" customHeight="false" outlineLevel="0" collapsed="false">
      <c r="A179" s="14" t="s">
        <v>564</v>
      </c>
      <c r="B179" s="14" t="n">
        <v>4</v>
      </c>
      <c r="C179" s="15" t="n">
        <f aca="false">$B$4+22</f>
        <v>46343</v>
      </c>
      <c r="D179" s="14" t="s">
        <v>72</v>
      </c>
      <c r="E179" s="16" t="s">
        <v>39</v>
      </c>
      <c r="F179" s="16" t="s">
        <v>40</v>
      </c>
      <c r="G179" s="14" t="s">
        <v>134</v>
      </c>
      <c r="H179" s="16" t="s">
        <v>557</v>
      </c>
      <c r="I179" s="14" t="n">
        <v>3</v>
      </c>
      <c r="J179" s="16" t="s">
        <v>565</v>
      </c>
      <c r="K179" s="16" t="s">
        <v>566</v>
      </c>
      <c r="L179" s="16"/>
      <c r="M179" s="12" t="s">
        <v>67</v>
      </c>
      <c r="N179" s="13"/>
      <c r="O179" s="13"/>
    </row>
    <row r="180" customFormat="false" ht="15" hidden="false" customHeight="false" outlineLevel="0" collapsed="false">
      <c r="A180" s="14" t="s">
        <v>567</v>
      </c>
      <c r="B180" s="14" t="n">
        <v>4</v>
      </c>
      <c r="C180" s="15" t="n">
        <f aca="false">$B$4+22</f>
        <v>46343</v>
      </c>
      <c r="D180" s="14" t="s">
        <v>72</v>
      </c>
      <c r="E180" s="16" t="s">
        <v>39</v>
      </c>
      <c r="F180" s="16" t="s">
        <v>40</v>
      </c>
      <c r="G180" s="14" t="s">
        <v>134</v>
      </c>
      <c r="H180" s="16" t="s">
        <v>557</v>
      </c>
      <c r="I180" s="14" t="n">
        <v>4</v>
      </c>
      <c r="J180" s="16" t="s">
        <v>568</v>
      </c>
      <c r="K180" s="16"/>
      <c r="L180" s="16"/>
      <c r="M180" s="12" t="s">
        <v>67</v>
      </c>
      <c r="N180" s="13"/>
      <c r="O180" s="13"/>
    </row>
    <row r="181" customFormat="false" ht="15" hidden="false" customHeight="false" outlineLevel="0" collapsed="false">
      <c r="A181" s="14" t="s">
        <v>569</v>
      </c>
      <c r="B181" s="14" t="n">
        <v>4</v>
      </c>
      <c r="C181" s="15" t="n">
        <f aca="false">$B$4+23</f>
        <v>46344</v>
      </c>
      <c r="D181" s="14" t="s">
        <v>79</v>
      </c>
      <c r="E181" s="16" t="s">
        <v>39</v>
      </c>
      <c r="F181" s="16" t="s">
        <v>40</v>
      </c>
      <c r="G181" s="14" t="s">
        <v>134</v>
      </c>
      <c r="H181" s="16" t="s">
        <v>557</v>
      </c>
      <c r="I181" s="14" t="n">
        <v>5</v>
      </c>
      <c r="J181" s="16" t="s">
        <v>570</v>
      </c>
      <c r="K181" s="16"/>
      <c r="L181" s="16"/>
      <c r="M181" s="12" t="s">
        <v>67</v>
      </c>
      <c r="N181" s="13"/>
      <c r="O181" s="13"/>
    </row>
    <row r="182" customFormat="false" ht="15" hidden="false" customHeight="false" outlineLevel="0" collapsed="false">
      <c r="A182" s="14" t="s">
        <v>571</v>
      </c>
      <c r="B182" s="14" t="n">
        <v>4</v>
      </c>
      <c r="C182" s="15" t="n">
        <f aca="false">$B$4+23</f>
        <v>46344</v>
      </c>
      <c r="D182" s="14" t="s">
        <v>79</v>
      </c>
      <c r="E182" s="16" t="s">
        <v>39</v>
      </c>
      <c r="F182" s="16" t="s">
        <v>40</v>
      </c>
      <c r="G182" s="14" t="s">
        <v>134</v>
      </c>
      <c r="H182" s="16" t="s">
        <v>557</v>
      </c>
      <c r="I182" s="14" t="n">
        <v>6</v>
      </c>
      <c r="J182" s="16" t="s">
        <v>572</v>
      </c>
      <c r="K182" s="16" t="s">
        <v>573</v>
      </c>
      <c r="L182" s="16"/>
      <c r="M182" s="12" t="s">
        <v>67</v>
      </c>
      <c r="N182" s="13"/>
      <c r="O182" s="13"/>
    </row>
    <row r="183" customFormat="false" ht="15" hidden="false" customHeight="false" outlineLevel="0" collapsed="false">
      <c r="A183" s="14" t="s">
        <v>574</v>
      </c>
      <c r="B183" s="14" t="n">
        <v>4</v>
      </c>
      <c r="C183" s="15" t="n">
        <f aca="false">$B$4+24</f>
        <v>46345</v>
      </c>
      <c r="D183" s="14" t="s">
        <v>86</v>
      </c>
      <c r="E183" s="16" t="s">
        <v>39</v>
      </c>
      <c r="F183" s="16" t="s">
        <v>40</v>
      </c>
      <c r="G183" s="14" t="s">
        <v>134</v>
      </c>
      <c r="H183" s="16" t="s">
        <v>557</v>
      </c>
      <c r="I183" s="14" t="n">
        <v>7</v>
      </c>
      <c r="J183" s="16" t="s">
        <v>575</v>
      </c>
      <c r="K183" s="16"/>
      <c r="L183" s="16"/>
      <c r="M183" s="12" t="s">
        <v>67</v>
      </c>
      <c r="N183" s="13"/>
      <c r="O183" s="13"/>
    </row>
    <row r="184" customFormat="false" ht="15" hidden="false" customHeight="false" outlineLevel="0" collapsed="false">
      <c r="A184" s="14" t="s">
        <v>576</v>
      </c>
      <c r="B184" s="14" t="n">
        <v>4</v>
      </c>
      <c r="C184" s="15" t="n">
        <f aca="false">$B$4+24</f>
        <v>46345</v>
      </c>
      <c r="D184" s="14" t="s">
        <v>86</v>
      </c>
      <c r="E184" s="16" t="s">
        <v>39</v>
      </c>
      <c r="F184" s="16" t="s">
        <v>40</v>
      </c>
      <c r="G184" s="14" t="s">
        <v>134</v>
      </c>
      <c r="H184" s="16" t="s">
        <v>557</v>
      </c>
      <c r="I184" s="14" t="n">
        <v>8</v>
      </c>
      <c r="J184" s="16" t="s">
        <v>577</v>
      </c>
      <c r="K184" s="16"/>
      <c r="L184" s="16"/>
      <c r="M184" s="12" t="s">
        <v>67</v>
      </c>
      <c r="N184" s="13"/>
      <c r="O184" s="13"/>
    </row>
    <row r="185" customFormat="false" ht="15" hidden="false" customHeight="false" outlineLevel="0" collapsed="false">
      <c r="A185" s="14" t="s">
        <v>578</v>
      </c>
      <c r="B185" s="14" t="n">
        <v>4</v>
      </c>
      <c r="C185" s="15" t="n">
        <f aca="false">$B$4+25</f>
        <v>46346</v>
      </c>
      <c r="D185" s="14" t="s">
        <v>93</v>
      </c>
      <c r="E185" s="16" t="s">
        <v>39</v>
      </c>
      <c r="F185" s="16" t="s">
        <v>40</v>
      </c>
      <c r="G185" s="14" t="s">
        <v>134</v>
      </c>
      <c r="H185" s="16" t="s">
        <v>557</v>
      </c>
      <c r="I185" s="14" t="n">
        <v>9</v>
      </c>
      <c r="J185" s="16" t="s">
        <v>579</v>
      </c>
      <c r="K185" s="16"/>
      <c r="L185" s="16"/>
      <c r="M185" s="12" t="s">
        <v>67</v>
      </c>
      <c r="N185" s="13"/>
      <c r="O185" s="13"/>
    </row>
    <row r="186" customFormat="false" ht="15" hidden="false" customHeight="false" outlineLevel="0" collapsed="false">
      <c r="A186" s="14" t="s">
        <v>580</v>
      </c>
      <c r="B186" s="14" t="n">
        <v>4</v>
      </c>
      <c r="C186" s="15" t="n">
        <f aca="false">$B$4+25</f>
        <v>46346</v>
      </c>
      <c r="D186" s="14" t="s">
        <v>93</v>
      </c>
      <c r="E186" s="16" t="s">
        <v>39</v>
      </c>
      <c r="F186" s="16" t="s">
        <v>40</v>
      </c>
      <c r="G186" s="14" t="s">
        <v>134</v>
      </c>
      <c r="H186" s="16" t="s">
        <v>557</v>
      </c>
      <c r="I186" s="14" t="n">
        <v>10</v>
      </c>
      <c r="J186" s="16" t="s">
        <v>581</v>
      </c>
      <c r="K186" s="16"/>
      <c r="L186" s="16"/>
      <c r="M186" s="12" t="s">
        <v>67</v>
      </c>
      <c r="N186" s="13"/>
      <c r="O186" s="13"/>
    </row>
    <row r="187" customFormat="false" ht="15" hidden="false" customHeight="false" outlineLevel="0" collapsed="false">
      <c r="A187" s="14" t="s">
        <v>582</v>
      </c>
      <c r="B187" s="14" t="n">
        <v>4</v>
      </c>
      <c r="C187" s="15" t="n">
        <f aca="false">$B$4+21</f>
        <v>46342</v>
      </c>
      <c r="D187" s="14" t="s">
        <v>62</v>
      </c>
      <c r="E187" s="16" t="s">
        <v>41</v>
      </c>
      <c r="F187" s="16" t="s">
        <v>42</v>
      </c>
      <c r="G187" s="14" t="s">
        <v>306</v>
      </c>
      <c r="H187" s="16" t="s">
        <v>583</v>
      </c>
      <c r="I187" s="14" t="n">
        <v>1</v>
      </c>
      <c r="J187" s="16" t="s">
        <v>584</v>
      </c>
      <c r="K187" s="16"/>
      <c r="L187" s="16"/>
      <c r="M187" s="12" t="s">
        <v>67</v>
      </c>
      <c r="N187" s="13"/>
      <c r="O187" s="13"/>
    </row>
    <row r="188" customFormat="false" ht="15" hidden="false" customHeight="false" outlineLevel="0" collapsed="false">
      <c r="A188" s="14" t="s">
        <v>585</v>
      </c>
      <c r="B188" s="14" t="n">
        <v>4</v>
      </c>
      <c r="C188" s="15" t="n">
        <f aca="false">$B$4+21</f>
        <v>46342</v>
      </c>
      <c r="D188" s="14" t="s">
        <v>62</v>
      </c>
      <c r="E188" s="16" t="s">
        <v>41</v>
      </c>
      <c r="F188" s="16" t="s">
        <v>42</v>
      </c>
      <c r="G188" s="14" t="s">
        <v>306</v>
      </c>
      <c r="H188" s="16" t="s">
        <v>583</v>
      </c>
      <c r="I188" s="14" t="n">
        <v>2</v>
      </c>
      <c r="J188" s="16" t="s">
        <v>586</v>
      </c>
      <c r="K188" s="16" t="s">
        <v>587</v>
      </c>
      <c r="L188" s="16" t="s">
        <v>588</v>
      </c>
      <c r="M188" s="12" t="s">
        <v>67</v>
      </c>
      <c r="N188" s="13"/>
      <c r="O188" s="13"/>
    </row>
    <row r="189" customFormat="false" ht="15" hidden="false" customHeight="false" outlineLevel="0" collapsed="false">
      <c r="A189" s="14" t="s">
        <v>589</v>
      </c>
      <c r="B189" s="14" t="n">
        <v>4</v>
      </c>
      <c r="C189" s="15" t="n">
        <f aca="false">$B$4+22</f>
        <v>46343</v>
      </c>
      <c r="D189" s="14" t="s">
        <v>72</v>
      </c>
      <c r="E189" s="16" t="s">
        <v>41</v>
      </c>
      <c r="F189" s="16" t="s">
        <v>42</v>
      </c>
      <c r="G189" s="14" t="s">
        <v>306</v>
      </c>
      <c r="H189" s="16" t="s">
        <v>583</v>
      </c>
      <c r="I189" s="14" t="n">
        <v>3</v>
      </c>
      <c r="J189" s="16" t="s">
        <v>590</v>
      </c>
      <c r="K189" s="16"/>
      <c r="L189" s="16"/>
      <c r="M189" s="12" t="s">
        <v>67</v>
      </c>
      <c r="N189" s="13"/>
      <c r="O189" s="13"/>
    </row>
    <row r="190" customFormat="false" ht="15" hidden="false" customHeight="false" outlineLevel="0" collapsed="false">
      <c r="A190" s="14" t="s">
        <v>591</v>
      </c>
      <c r="B190" s="14" t="n">
        <v>4</v>
      </c>
      <c r="C190" s="15" t="n">
        <f aca="false">$B$4+22</f>
        <v>46343</v>
      </c>
      <c r="D190" s="14" t="s">
        <v>72</v>
      </c>
      <c r="E190" s="16" t="s">
        <v>41</v>
      </c>
      <c r="F190" s="16" t="s">
        <v>42</v>
      </c>
      <c r="G190" s="14" t="s">
        <v>306</v>
      </c>
      <c r="H190" s="16" t="s">
        <v>583</v>
      </c>
      <c r="I190" s="14" t="n">
        <v>4</v>
      </c>
      <c r="J190" s="16" t="s">
        <v>592</v>
      </c>
      <c r="K190" s="16"/>
      <c r="L190" s="16"/>
      <c r="M190" s="12" t="s">
        <v>67</v>
      </c>
      <c r="N190" s="13"/>
      <c r="O190" s="13"/>
    </row>
    <row r="191" customFormat="false" ht="15" hidden="false" customHeight="false" outlineLevel="0" collapsed="false">
      <c r="A191" s="14" t="s">
        <v>593</v>
      </c>
      <c r="B191" s="14" t="n">
        <v>4</v>
      </c>
      <c r="C191" s="15" t="n">
        <f aca="false">$B$4+23</f>
        <v>46344</v>
      </c>
      <c r="D191" s="14" t="s">
        <v>79</v>
      </c>
      <c r="E191" s="16" t="s">
        <v>41</v>
      </c>
      <c r="F191" s="16" t="s">
        <v>42</v>
      </c>
      <c r="G191" s="14" t="s">
        <v>306</v>
      </c>
      <c r="H191" s="16" t="s">
        <v>583</v>
      </c>
      <c r="I191" s="14" t="n">
        <v>5</v>
      </c>
      <c r="J191" s="16" t="s">
        <v>594</v>
      </c>
      <c r="K191" s="16"/>
      <c r="L191" s="16"/>
      <c r="M191" s="12" t="s">
        <v>67</v>
      </c>
      <c r="N191" s="13"/>
      <c r="O191" s="13"/>
    </row>
    <row r="192" customFormat="false" ht="15" hidden="false" customHeight="false" outlineLevel="0" collapsed="false">
      <c r="A192" s="14" t="s">
        <v>595</v>
      </c>
      <c r="B192" s="14" t="n">
        <v>4</v>
      </c>
      <c r="C192" s="15" t="n">
        <f aca="false">$B$4+23</f>
        <v>46344</v>
      </c>
      <c r="D192" s="14" t="s">
        <v>79</v>
      </c>
      <c r="E192" s="16" t="s">
        <v>41</v>
      </c>
      <c r="F192" s="16" t="s">
        <v>42</v>
      </c>
      <c r="G192" s="14" t="s">
        <v>306</v>
      </c>
      <c r="H192" s="16" t="s">
        <v>583</v>
      </c>
      <c r="I192" s="14" t="n">
        <v>6</v>
      </c>
      <c r="J192" s="16" t="s">
        <v>596</v>
      </c>
      <c r="K192" s="16"/>
      <c r="L192" s="16"/>
      <c r="M192" s="12" t="s">
        <v>67</v>
      </c>
      <c r="N192" s="13"/>
      <c r="O192" s="13"/>
    </row>
    <row r="193" customFormat="false" ht="15" hidden="false" customHeight="false" outlineLevel="0" collapsed="false">
      <c r="A193" s="14" t="s">
        <v>597</v>
      </c>
      <c r="B193" s="14" t="n">
        <v>4</v>
      </c>
      <c r="C193" s="15" t="n">
        <f aca="false">$B$4+24</f>
        <v>46345</v>
      </c>
      <c r="D193" s="14" t="s">
        <v>86</v>
      </c>
      <c r="E193" s="16" t="s">
        <v>41</v>
      </c>
      <c r="F193" s="16" t="s">
        <v>42</v>
      </c>
      <c r="G193" s="14" t="s">
        <v>306</v>
      </c>
      <c r="H193" s="16" t="s">
        <v>583</v>
      </c>
      <c r="I193" s="14" t="n">
        <v>7</v>
      </c>
      <c r="J193" s="16" t="s">
        <v>598</v>
      </c>
      <c r="K193" s="16" t="s">
        <v>599</v>
      </c>
      <c r="L193" s="16"/>
      <c r="M193" s="12" t="s">
        <v>67</v>
      </c>
      <c r="N193" s="13"/>
      <c r="O193" s="13"/>
    </row>
    <row r="194" customFormat="false" ht="15" hidden="false" customHeight="false" outlineLevel="0" collapsed="false">
      <c r="A194" s="14" t="s">
        <v>600</v>
      </c>
      <c r="B194" s="14" t="n">
        <v>4</v>
      </c>
      <c r="C194" s="15" t="n">
        <f aca="false">$B$4+24</f>
        <v>46345</v>
      </c>
      <c r="D194" s="14" t="s">
        <v>86</v>
      </c>
      <c r="E194" s="16" t="s">
        <v>41</v>
      </c>
      <c r="F194" s="16" t="s">
        <v>42</v>
      </c>
      <c r="G194" s="14" t="s">
        <v>306</v>
      </c>
      <c r="H194" s="16" t="s">
        <v>583</v>
      </c>
      <c r="I194" s="14" t="n">
        <v>8</v>
      </c>
      <c r="J194" s="16" t="s">
        <v>601</v>
      </c>
      <c r="K194" s="16"/>
      <c r="L194" s="16"/>
      <c r="M194" s="12" t="s">
        <v>67</v>
      </c>
      <c r="N194" s="13"/>
      <c r="O194" s="13"/>
    </row>
    <row r="195" customFormat="false" ht="15" hidden="false" customHeight="false" outlineLevel="0" collapsed="false">
      <c r="A195" s="14" t="s">
        <v>602</v>
      </c>
      <c r="B195" s="14" t="n">
        <v>4</v>
      </c>
      <c r="C195" s="15" t="n">
        <f aca="false">$B$4+25</f>
        <v>46346</v>
      </c>
      <c r="D195" s="14" t="s">
        <v>93</v>
      </c>
      <c r="E195" s="16" t="s">
        <v>41</v>
      </c>
      <c r="F195" s="16" t="s">
        <v>42</v>
      </c>
      <c r="G195" s="14" t="s">
        <v>306</v>
      </c>
      <c r="H195" s="16" t="s">
        <v>583</v>
      </c>
      <c r="I195" s="14" t="n">
        <v>9</v>
      </c>
      <c r="J195" s="16" t="s">
        <v>603</v>
      </c>
      <c r="K195" s="16"/>
      <c r="L195" s="16"/>
      <c r="M195" s="12" t="s">
        <v>67</v>
      </c>
      <c r="N195" s="13"/>
      <c r="O195" s="13"/>
    </row>
    <row r="196" customFormat="false" ht="15" hidden="false" customHeight="false" outlineLevel="0" collapsed="false">
      <c r="A196" s="14" t="s">
        <v>604</v>
      </c>
      <c r="B196" s="14" t="n">
        <v>4</v>
      </c>
      <c r="C196" s="15" t="n">
        <f aca="false">$B$4+25</f>
        <v>46346</v>
      </c>
      <c r="D196" s="14" t="s">
        <v>93</v>
      </c>
      <c r="E196" s="16" t="s">
        <v>41</v>
      </c>
      <c r="F196" s="16" t="s">
        <v>42</v>
      </c>
      <c r="G196" s="14" t="s">
        <v>306</v>
      </c>
      <c r="H196" s="16" t="s">
        <v>583</v>
      </c>
      <c r="I196" s="14" t="n">
        <v>10</v>
      </c>
      <c r="J196" s="16" t="s">
        <v>605</v>
      </c>
      <c r="K196" s="16"/>
      <c r="L196" s="16"/>
      <c r="M196" s="12" t="s">
        <v>67</v>
      </c>
      <c r="N196" s="13"/>
      <c r="O196" s="13"/>
    </row>
    <row r="197" customFormat="false" ht="15" hidden="false" customHeight="false" outlineLevel="0" collapsed="false">
      <c r="A197" s="14" t="s">
        <v>606</v>
      </c>
      <c r="B197" s="14" t="n">
        <v>4</v>
      </c>
      <c r="C197" s="15" t="n">
        <f aca="false">$B$4+21</f>
        <v>46342</v>
      </c>
      <c r="D197" s="14" t="s">
        <v>62</v>
      </c>
      <c r="E197" s="16" t="s">
        <v>43</v>
      </c>
      <c r="F197" s="16" t="s">
        <v>44</v>
      </c>
      <c r="G197" s="14" t="s">
        <v>187</v>
      </c>
      <c r="H197" s="16" t="s">
        <v>607</v>
      </c>
      <c r="I197" s="14" t="n">
        <v>1</v>
      </c>
      <c r="J197" s="16" t="s">
        <v>608</v>
      </c>
      <c r="K197" s="16" t="s">
        <v>609</v>
      </c>
      <c r="L197" s="16"/>
      <c r="M197" s="12" t="s">
        <v>67</v>
      </c>
      <c r="N197" s="13"/>
      <c r="O197" s="13"/>
    </row>
    <row r="198" customFormat="false" ht="15" hidden="false" customHeight="false" outlineLevel="0" collapsed="false">
      <c r="A198" s="14" t="s">
        <v>610</v>
      </c>
      <c r="B198" s="14" t="n">
        <v>4</v>
      </c>
      <c r="C198" s="15" t="n">
        <f aca="false">$B$4+21</f>
        <v>46342</v>
      </c>
      <c r="D198" s="14" t="s">
        <v>62</v>
      </c>
      <c r="E198" s="16" t="s">
        <v>43</v>
      </c>
      <c r="F198" s="16" t="s">
        <v>44</v>
      </c>
      <c r="G198" s="14" t="s">
        <v>187</v>
      </c>
      <c r="H198" s="16" t="s">
        <v>607</v>
      </c>
      <c r="I198" s="14" t="n">
        <v>2</v>
      </c>
      <c r="J198" s="16" t="s">
        <v>611</v>
      </c>
      <c r="K198" s="16"/>
      <c r="L198" s="16"/>
      <c r="M198" s="12" t="s">
        <v>67</v>
      </c>
      <c r="N198" s="13"/>
      <c r="O198" s="13"/>
    </row>
    <row r="199" customFormat="false" ht="15" hidden="false" customHeight="false" outlineLevel="0" collapsed="false">
      <c r="A199" s="14" t="s">
        <v>612</v>
      </c>
      <c r="B199" s="14" t="n">
        <v>4</v>
      </c>
      <c r="C199" s="15" t="n">
        <f aca="false">$B$4+22</f>
        <v>46343</v>
      </c>
      <c r="D199" s="14" t="s">
        <v>72</v>
      </c>
      <c r="E199" s="16" t="s">
        <v>43</v>
      </c>
      <c r="F199" s="16" t="s">
        <v>44</v>
      </c>
      <c r="G199" s="14" t="s">
        <v>187</v>
      </c>
      <c r="H199" s="16" t="s">
        <v>607</v>
      </c>
      <c r="I199" s="14" t="n">
        <v>3</v>
      </c>
      <c r="J199" s="16" t="s">
        <v>613</v>
      </c>
      <c r="K199" s="16"/>
      <c r="L199" s="16"/>
      <c r="M199" s="12" t="s">
        <v>67</v>
      </c>
      <c r="N199" s="13"/>
      <c r="O199" s="13"/>
    </row>
    <row r="200" customFormat="false" ht="15" hidden="false" customHeight="false" outlineLevel="0" collapsed="false">
      <c r="A200" s="14" t="s">
        <v>614</v>
      </c>
      <c r="B200" s="14" t="n">
        <v>4</v>
      </c>
      <c r="C200" s="15" t="n">
        <f aca="false">$B$4+22</f>
        <v>46343</v>
      </c>
      <c r="D200" s="14" t="s">
        <v>72</v>
      </c>
      <c r="E200" s="16" t="s">
        <v>43</v>
      </c>
      <c r="F200" s="16" t="s">
        <v>44</v>
      </c>
      <c r="G200" s="14" t="s">
        <v>187</v>
      </c>
      <c r="H200" s="16" t="s">
        <v>607</v>
      </c>
      <c r="I200" s="14" t="n">
        <v>4</v>
      </c>
      <c r="J200" s="16" t="s">
        <v>615</v>
      </c>
      <c r="K200" s="16"/>
      <c r="L200" s="16"/>
      <c r="M200" s="12" t="s">
        <v>67</v>
      </c>
      <c r="N200" s="13"/>
      <c r="O200" s="13"/>
    </row>
    <row r="201" customFormat="false" ht="15" hidden="false" customHeight="false" outlineLevel="0" collapsed="false">
      <c r="A201" s="14" t="s">
        <v>616</v>
      </c>
      <c r="B201" s="14" t="n">
        <v>4</v>
      </c>
      <c r="C201" s="15" t="n">
        <f aca="false">$B$4+23</f>
        <v>46344</v>
      </c>
      <c r="D201" s="14" t="s">
        <v>79</v>
      </c>
      <c r="E201" s="16" t="s">
        <v>43</v>
      </c>
      <c r="F201" s="16" t="s">
        <v>44</v>
      </c>
      <c r="G201" s="14" t="s">
        <v>187</v>
      </c>
      <c r="H201" s="16" t="s">
        <v>607</v>
      </c>
      <c r="I201" s="14" t="n">
        <v>5</v>
      </c>
      <c r="J201" s="16" t="s">
        <v>617</v>
      </c>
      <c r="K201" s="16"/>
      <c r="L201" s="16"/>
      <c r="M201" s="12" t="s">
        <v>67</v>
      </c>
      <c r="N201" s="13"/>
      <c r="O201" s="13"/>
    </row>
    <row r="202" customFormat="false" ht="23.85" hidden="false" customHeight="false" outlineLevel="0" collapsed="false">
      <c r="A202" s="14" t="s">
        <v>618</v>
      </c>
      <c r="B202" s="14" t="n">
        <v>4</v>
      </c>
      <c r="C202" s="15" t="n">
        <f aca="false">$B$4+23</f>
        <v>46344</v>
      </c>
      <c r="D202" s="14" t="s">
        <v>79</v>
      </c>
      <c r="E202" s="16" t="s">
        <v>43</v>
      </c>
      <c r="F202" s="16" t="s">
        <v>44</v>
      </c>
      <c r="G202" s="14" t="s">
        <v>187</v>
      </c>
      <c r="H202" s="16" t="s">
        <v>607</v>
      </c>
      <c r="I202" s="14" t="n">
        <v>6</v>
      </c>
      <c r="J202" s="16" t="s">
        <v>619</v>
      </c>
      <c r="K202" s="16" t="s">
        <v>620</v>
      </c>
      <c r="L202" s="16" t="s">
        <v>621</v>
      </c>
      <c r="M202" s="12" t="s">
        <v>67</v>
      </c>
      <c r="N202" s="13"/>
      <c r="O202" s="13"/>
    </row>
    <row r="203" customFormat="false" ht="15" hidden="false" customHeight="false" outlineLevel="0" collapsed="false">
      <c r="A203" s="14" t="s">
        <v>622</v>
      </c>
      <c r="B203" s="14" t="n">
        <v>4</v>
      </c>
      <c r="C203" s="15" t="n">
        <f aca="false">$B$4+24</f>
        <v>46345</v>
      </c>
      <c r="D203" s="14" t="s">
        <v>86</v>
      </c>
      <c r="E203" s="16" t="s">
        <v>43</v>
      </c>
      <c r="F203" s="16" t="s">
        <v>44</v>
      </c>
      <c r="G203" s="14" t="s">
        <v>187</v>
      </c>
      <c r="H203" s="16" t="s">
        <v>607</v>
      </c>
      <c r="I203" s="14" t="n">
        <v>7</v>
      </c>
      <c r="J203" s="16" t="s">
        <v>623</v>
      </c>
      <c r="K203" s="16"/>
      <c r="L203" s="16"/>
      <c r="M203" s="12" t="s">
        <v>67</v>
      </c>
      <c r="N203" s="13"/>
      <c r="O203" s="13"/>
    </row>
    <row r="204" customFormat="false" ht="15" hidden="false" customHeight="false" outlineLevel="0" collapsed="false">
      <c r="A204" s="14" t="s">
        <v>624</v>
      </c>
      <c r="B204" s="14" t="n">
        <v>4</v>
      </c>
      <c r="C204" s="15" t="n">
        <f aca="false">$B$4+24</f>
        <v>46345</v>
      </c>
      <c r="D204" s="14" t="s">
        <v>86</v>
      </c>
      <c r="E204" s="16" t="s">
        <v>43</v>
      </c>
      <c r="F204" s="16" t="s">
        <v>44</v>
      </c>
      <c r="G204" s="14" t="s">
        <v>187</v>
      </c>
      <c r="H204" s="16" t="s">
        <v>607</v>
      </c>
      <c r="I204" s="14" t="n">
        <v>8</v>
      </c>
      <c r="J204" s="16" t="s">
        <v>625</v>
      </c>
      <c r="K204" s="16" t="s">
        <v>626</v>
      </c>
      <c r="L204" s="16"/>
      <c r="M204" s="12" t="s">
        <v>67</v>
      </c>
      <c r="N204" s="13"/>
      <c r="O204" s="13"/>
    </row>
    <row r="205" customFormat="false" ht="15" hidden="false" customHeight="false" outlineLevel="0" collapsed="false">
      <c r="A205" s="14" t="s">
        <v>627</v>
      </c>
      <c r="B205" s="14" t="n">
        <v>4</v>
      </c>
      <c r="C205" s="15" t="n">
        <f aca="false">$B$4+25</f>
        <v>46346</v>
      </c>
      <c r="D205" s="14" t="s">
        <v>93</v>
      </c>
      <c r="E205" s="16" t="s">
        <v>43</v>
      </c>
      <c r="F205" s="16" t="s">
        <v>44</v>
      </c>
      <c r="G205" s="14" t="s">
        <v>187</v>
      </c>
      <c r="H205" s="16" t="s">
        <v>607</v>
      </c>
      <c r="I205" s="14" t="n">
        <v>9</v>
      </c>
      <c r="J205" s="16" t="s">
        <v>628</v>
      </c>
      <c r="K205" s="16" t="s">
        <v>629</v>
      </c>
      <c r="L205" s="16"/>
      <c r="M205" s="12" t="s">
        <v>67</v>
      </c>
      <c r="N205" s="13"/>
      <c r="O205" s="13"/>
    </row>
    <row r="206" customFormat="false" ht="15" hidden="false" customHeight="false" outlineLevel="0" collapsed="false">
      <c r="A206" s="14" t="s">
        <v>630</v>
      </c>
      <c r="B206" s="14" t="n">
        <v>4</v>
      </c>
      <c r="C206" s="15" t="n">
        <f aca="false">$B$4+25</f>
        <v>46346</v>
      </c>
      <c r="D206" s="14" t="s">
        <v>93</v>
      </c>
      <c r="E206" s="16" t="s">
        <v>43</v>
      </c>
      <c r="F206" s="16" t="s">
        <v>44</v>
      </c>
      <c r="G206" s="14" t="s">
        <v>187</v>
      </c>
      <c r="H206" s="16" t="s">
        <v>607</v>
      </c>
      <c r="I206" s="14" t="n">
        <v>10</v>
      </c>
      <c r="J206" s="16" t="s">
        <v>631</v>
      </c>
      <c r="K206" s="16"/>
      <c r="L206" s="16" t="s">
        <v>632</v>
      </c>
      <c r="M206" s="12" t="s">
        <v>67</v>
      </c>
      <c r="N206" s="13"/>
      <c r="O206" s="13"/>
    </row>
    <row r="207" customFormat="false" ht="23.85" hidden="false" customHeight="false" outlineLevel="0" collapsed="false">
      <c r="A207" s="9" t="s">
        <v>633</v>
      </c>
      <c r="B207" s="9" t="n">
        <v>5</v>
      </c>
      <c r="C207" s="10" t="n">
        <f aca="false">$B$4+28</f>
        <v>46349</v>
      </c>
      <c r="D207" s="9" t="s">
        <v>62</v>
      </c>
      <c r="E207" s="11" t="s">
        <v>35</v>
      </c>
      <c r="F207" s="11" t="s">
        <v>36</v>
      </c>
      <c r="G207" s="9" t="s">
        <v>63</v>
      </c>
      <c r="H207" s="11" t="s">
        <v>634</v>
      </c>
      <c r="I207" s="9" t="n">
        <v>1</v>
      </c>
      <c r="J207" s="11" t="s">
        <v>635</v>
      </c>
      <c r="K207" s="11" t="s">
        <v>636</v>
      </c>
      <c r="L207" s="11"/>
      <c r="M207" s="12" t="s">
        <v>67</v>
      </c>
      <c r="N207" s="13"/>
      <c r="O207" s="13"/>
    </row>
    <row r="208" customFormat="false" ht="23.85" hidden="false" customHeight="false" outlineLevel="0" collapsed="false">
      <c r="A208" s="9" t="s">
        <v>637</v>
      </c>
      <c r="B208" s="9" t="n">
        <v>5</v>
      </c>
      <c r="C208" s="10" t="n">
        <f aca="false">$B$4+28</f>
        <v>46349</v>
      </c>
      <c r="D208" s="9" t="s">
        <v>62</v>
      </c>
      <c r="E208" s="11" t="s">
        <v>35</v>
      </c>
      <c r="F208" s="11" t="s">
        <v>36</v>
      </c>
      <c r="G208" s="9" t="s">
        <v>63</v>
      </c>
      <c r="H208" s="11" t="s">
        <v>634</v>
      </c>
      <c r="I208" s="9" t="n">
        <v>2</v>
      </c>
      <c r="J208" s="11" t="s">
        <v>638</v>
      </c>
      <c r="K208" s="11" t="s">
        <v>639</v>
      </c>
      <c r="L208" s="11"/>
      <c r="M208" s="12" t="s">
        <v>67</v>
      </c>
      <c r="N208" s="13"/>
      <c r="O208" s="13"/>
    </row>
    <row r="209" customFormat="false" ht="23.85" hidden="false" customHeight="false" outlineLevel="0" collapsed="false">
      <c r="A209" s="9" t="s">
        <v>640</v>
      </c>
      <c r="B209" s="9" t="n">
        <v>5</v>
      </c>
      <c r="C209" s="10" t="n">
        <f aca="false">$B$4+29</f>
        <v>46350</v>
      </c>
      <c r="D209" s="9" t="s">
        <v>72</v>
      </c>
      <c r="E209" s="11" t="s">
        <v>35</v>
      </c>
      <c r="F209" s="11" t="s">
        <v>36</v>
      </c>
      <c r="G209" s="9" t="s">
        <v>63</v>
      </c>
      <c r="H209" s="11" t="s">
        <v>634</v>
      </c>
      <c r="I209" s="9" t="n">
        <v>3</v>
      </c>
      <c r="J209" s="11" t="s">
        <v>641</v>
      </c>
      <c r="K209" s="11" t="s">
        <v>642</v>
      </c>
      <c r="L209" s="11"/>
      <c r="M209" s="12" t="s">
        <v>67</v>
      </c>
      <c r="N209" s="13"/>
      <c r="O209" s="13"/>
    </row>
    <row r="210" customFormat="false" ht="23.85" hidden="false" customHeight="false" outlineLevel="0" collapsed="false">
      <c r="A210" s="9" t="s">
        <v>643</v>
      </c>
      <c r="B210" s="9" t="n">
        <v>5</v>
      </c>
      <c r="C210" s="10" t="n">
        <f aca="false">$B$4+29</f>
        <v>46350</v>
      </c>
      <c r="D210" s="9" t="s">
        <v>72</v>
      </c>
      <c r="E210" s="11" t="s">
        <v>35</v>
      </c>
      <c r="F210" s="11" t="s">
        <v>36</v>
      </c>
      <c r="G210" s="9" t="s">
        <v>63</v>
      </c>
      <c r="H210" s="11" t="s">
        <v>634</v>
      </c>
      <c r="I210" s="9" t="n">
        <v>4</v>
      </c>
      <c r="J210" s="11" t="s">
        <v>644</v>
      </c>
      <c r="K210" s="11" t="s">
        <v>645</v>
      </c>
      <c r="L210" s="11"/>
      <c r="M210" s="12" t="s">
        <v>67</v>
      </c>
      <c r="N210" s="13"/>
      <c r="O210" s="13"/>
    </row>
    <row r="211" customFormat="false" ht="23.85" hidden="false" customHeight="false" outlineLevel="0" collapsed="false">
      <c r="A211" s="9" t="s">
        <v>646</v>
      </c>
      <c r="B211" s="9" t="n">
        <v>5</v>
      </c>
      <c r="C211" s="10" t="n">
        <f aca="false">$B$4+30</f>
        <v>46351</v>
      </c>
      <c r="D211" s="9" t="s">
        <v>79</v>
      </c>
      <c r="E211" s="11" t="s">
        <v>35</v>
      </c>
      <c r="F211" s="11" t="s">
        <v>36</v>
      </c>
      <c r="G211" s="9" t="s">
        <v>63</v>
      </c>
      <c r="H211" s="11" t="s">
        <v>634</v>
      </c>
      <c r="I211" s="9" t="n">
        <v>5</v>
      </c>
      <c r="J211" s="11" t="s">
        <v>647</v>
      </c>
      <c r="K211" s="11" t="s">
        <v>648</v>
      </c>
      <c r="L211" s="11"/>
      <c r="M211" s="12" t="s">
        <v>67</v>
      </c>
      <c r="N211" s="13"/>
      <c r="O211" s="13"/>
    </row>
    <row r="212" customFormat="false" ht="23.85" hidden="false" customHeight="false" outlineLevel="0" collapsed="false">
      <c r="A212" s="9" t="s">
        <v>649</v>
      </c>
      <c r="B212" s="9" t="n">
        <v>5</v>
      </c>
      <c r="C212" s="10" t="n">
        <f aca="false">$B$4+30</f>
        <v>46351</v>
      </c>
      <c r="D212" s="9" t="s">
        <v>79</v>
      </c>
      <c r="E212" s="11" t="s">
        <v>35</v>
      </c>
      <c r="F212" s="11" t="s">
        <v>36</v>
      </c>
      <c r="G212" s="9" t="s">
        <v>63</v>
      </c>
      <c r="H212" s="11" t="s">
        <v>634</v>
      </c>
      <c r="I212" s="9" t="n">
        <v>6</v>
      </c>
      <c r="J212" s="11" t="s">
        <v>650</v>
      </c>
      <c r="K212" s="11" t="s">
        <v>651</v>
      </c>
      <c r="L212" s="11"/>
      <c r="M212" s="12" t="s">
        <v>67</v>
      </c>
      <c r="N212" s="13"/>
      <c r="O212" s="13"/>
    </row>
    <row r="213" customFormat="false" ht="23.85" hidden="false" customHeight="false" outlineLevel="0" collapsed="false">
      <c r="A213" s="9" t="s">
        <v>652</v>
      </c>
      <c r="B213" s="9" t="n">
        <v>5</v>
      </c>
      <c r="C213" s="10" t="n">
        <f aca="false">$B$4+31</f>
        <v>46352</v>
      </c>
      <c r="D213" s="9" t="s">
        <v>86</v>
      </c>
      <c r="E213" s="11" t="s">
        <v>35</v>
      </c>
      <c r="F213" s="11" t="s">
        <v>36</v>
      </c>
      <c r="G213" s="9" t="s">
        <v>63</v>
      </c>
      <c r="H213" s="11" t="s">
        <v>634</v>
      </c>
      <c r="I213" s="9" t="n">
        <v>7</v>
      </c>
      <c r="J213" s="11" t="s">
        <v>653</v>
      </c>
      <c r="K213" s="11" t="s">
        <v>654</v>
      </c>
      <c r="L213" s="11"/>
      <c r="M213" s="12" t="s">
        <v>67</v>
      </c>
      <c r="N213" s="13"/>
      <c r="O213" s="13"/>
    </row>
    <row r="214" customFormat="false" ht="23.85" hidden="false" customHeight="false" outlineLevel="0" collapsed="false">
      <c r="A214" s="9" t="s">
        <v>655</v>
      </c>
      <c r="B214" s="9" t="n">
        <v>5</v>
      </c>
      <c r="C214" s="10" t="n">
        <f aca="false">$B$4+31</f>
        <v>46352</v>
      </c>
      <c r="D214" s="9" t="s">
        <v>86</v>
      </c>
      <c r="E214" s="11" t="s">
        <v>35</v>
      </c>
      <c r="F214" s="11" t="s">
        <v>36</v>
      </c>
      <c r="G214" s="9" t="s">
        <v>63</v>
      </c>
      <c r="H214" s="11" t="s">
        <v>634</v>
      </c>
      <c r="I214" s="9" t="n">
        <v>8</v>
      </c>
      <c r="J214" s="11" t="s">
        <v>656</v>
      </c>
      <c r="K214" s="11" t="s">
        <v>657</v>
      </c>
      <c r="L214" s="11"/>
      <c r="M214" s="12" t="s">
        <v>67</v>
      </c>
      <c r="N214" s="13"/>
      <c r="O214" s="13"/>
    </row>
    <row r="215" customFormat="false" ht="23.85" hidden="false" customHeight="false" outlineLevel="0" collapsed="false">
      <c r="A215" s="9" t="s">
        <v>658</v>
      </c>
      <c r="B215" s="9" t="n">
        <v>5</v>
      </c>
      <c r="C215" s="10" t="n">
        <f aca="false">$B$4+32</f>
        <v>46353</v>
      </c>
      <c r="D215" s="9" t="s">
        <v>93</v>
      </c>
      <c r="E215" s="11" t="s">
        <v>35</v>
      </c>
      <c r="F215" s="11" t="s">
        <v>36</v>
      </c>
      <c r="G215" s="9" t="s">
        <v>63</v>
      </c>
      <c r="H215" s="11" t="s">
        <v>634</v>
      </c>
      <c r="I215" s="9" t="n">
        <v>9</v>
      </c>
      <c r="J215" s="11" t="s">
        <v>659</v>
      </c>
      <c r="K215" s="11" t="s">
        <v>660</v>
      </c>
      <c r="L215" s="11" t="s">
        <v>661</v>
      </c>
      <c r="M215" s="12" t="s">
        <v>67</v>
      </c>
      <c r="N215" s="13"/>
      <c r="O215" s="13"/>
    </row>
    <row r="216" customFormat="false" ht="23.85" hidden="false" customHeight="false" outlineLevel="0" collapsed="false">
      <c r="A216" s="9" t="s">
        <v>662</v>
      </c>
      <c r="B216" s="9" t="n">
        <v>5</v>
      </c>
      <c r="C216" s="10" t="n">
        <f aca="false">$B$4+32</f>
        <v>46353</v>
      </c>
      <c r="D216" s="9" t="s">
        <v>93</v>
      </c>
      <c r="E216" s="11" t="s">
        <v>35</v>
      </c>
      <c r="F216" s="11" t="s">
        <v>36</v>
      </c>
      <c r="G216" s="9" t="s">
        <v>63</v>
      </c>
      <c r="H216" s="11" t="s">
        <v>634</v>
      </c>
      <c r="I216" s="9" t="n">
        <v>10</v>
      </c>
      <c r="J216" s="11" t="s">
        <v>663</v>
      </c>
      <c r="K216" s="11" t="s">
        <v>664</v>
      </c>
      <c r="L216" s="11"/>
      <c r="M216" s="12" t="s">
        <v>67</v>
      </c>
      <c r="N216" s="13"/>
      <c r="O216" s="13"/>
    </row>
    <row r="217" customFormat="false" ht="15" hidden="false" customHeight="false" outlineLevel="0" collapsed="false">
      <c r="A217" s="9" t="s">
        <v>665</v>
      </c>
      <c r="B217" s="9" t="n">
        <v>5</v>
      </c>
      <c r="C217" s="10" t="n">
        <f aca="false">$B$4+28</f>
        <v>46349</v>
      </c>
      <c r="D217" s="9" t="s">
        <v>62</v>
      </c>
      <c r="E217" s="11" t="s">
        <v>37</v>
      </c>
      <c r="F217" s="11" t="s">
        <v>38</v>
      </c>
      <c r="G217" s="9" t="s">
        <v>306</v>
      </c>
      <c r="H217" s="11" t="s">
        <v>666</v>
      </c>
      <c r="I217" s="9" t="n">
        <v>1</v>
      </c>
      <c r="J217" s="11" t="s">
        <v>667</v>
      </c>
      <c r="K217" s="11" t="s">
        <v>668</v>
      </c>
      <c r="L217" s="11"/>
      <c r="M217" s="12" t="s">
        <v>67</v>
      </c>
      <c r="N217" s="13"/>
      <c r="O217" s="13"/>
    </row>
    <row r="218" customFormat="false" ht="15" hidden="false" customHeight="false" outlineLevel="0" collapsed="false">
      <c r="A218" s="9" t="s">
        <v>669</v>
      </c>
      <c r="B218" s="9" t="n">
        <v>5</v>
      </c>
      <c r="C218" s="10" t="n">
        <f aca="false">$B$4+28</f>
        <v>46349</v>
      </c>
      <c r="D218" s="9" t="s">
        <v>62</v>
      </c>
      <c r="E218" s="11" t="s">
        <v>37</v>
      </c>
      <c r="F218" s="11" t="s">
        <v>38</v>
      </c>
      <c r="G218" s="9" t="s">
        <v>306</v>
      </c>
      <c r="H218" s="11" t="s">
        <v>666</v>
      </c>
      <c r="I218" s="9" t="n">
        <v>2</v>
      </c>
      <c r="J218" s="11" t="s">
        <v>670</v>
      </c>
      <c r="K218" s="11" t="s">
        <v>671</v>
      </c>
      <c r="L218" s="11"/>
      <c r="M218" s="12" t="s">
        <v>67</v>
      </c>
      <c r="N218" s="13"/>
      <c r="O218" s="13"/>
    </row>
    <row r="219" customFormat="false" ht="15" hidden="false" customHeight="false" outlineLevel="0" collapsed="false">
      <c r="A219" s="9" t="s">
        <v>672</v>
      </c>
      <c r="B219" s="9" t="n">
        <v>5</v>
      </c>
      <c r="C219" s="10" t="n">
        <f aca="false">$B$4+29</f>
        <v>46350</v>
      </c>
      <c r="D219" s="9" t="s">
        <v>72</v>
      </c>
      <c r="E219" s="11" t="s">
        <v>37</v>
      </c>
      <c r="F219" s="11" t="s">
        <v>38</v>
      </c>
      <c r="G219" s="9" t="s">
        <v>306</v>
      </c>
      <c r="H219" s="11" t="s">
        <v>666</v>
      </c>
      <c r="I219" s="9" t="n">
        <v>3</v>
      </c>
      <c r="J219" s="11" t="s">
        <v>673</v>
      </c>
      <c r="K219" s="11" t="s">
        <v>674</v>
      </c>
      <c r="L219" s="11" t="s">
        <v>661</v>
      </c>
      <c r="M219" s="12" t="s">
        <v>67</v>
      </c>
      <c r="N219" s="13"/>
      <c r="O219" s="13"/>
    </row>
    <row r="220" customFormat="false" ht="15" hidden="false" customHeight="false" outlineLevel="0" collapsed="false">
      <c r="A220" s="9" t="s">
        <v>675</v>
      </c>
      <c r="B220" s="9" t="n">
        <v>5</v>
      </c>
      <c r="C220" s="10" t="n">
        <f aca="false">$B$4+29</f>
        <v>46350</v>
      </c>
      <c r="D220" s="9" t="s">
        <v>72</v>
      </c>
      <c r="E220" s="11" t="s">
        <v>37</v>
      </c>
      <c r="F220" s="11" t="s">
        <v>38</v>
      </c>
      <c r="G220" s="9" t="s">
        <v>306</v>
      </c>
      <c r="H220" s="11" t="s">
        <v>666</v>
      </c>
      <c r="I220" s="9" t="n">
        <v>4</v>
      </c>
      <c r="J220" s="11" t="s">
        <v>676</v>
      </c>
      <c r="K220" s="11" t="s">
        <v>677</v>
      </c>
      <c r="L220" s="11"/>
      <c r="M220" s="12" t="s">
        <v>67</v>
      </c>
      <c r="N220" s="13"/>
      <c r="O220" s="13"/>
    </row>
    <row r="221" customFormat="false" ht="15" hidden="false" customHeight="false" outlineLevel="0" collapsed="false">
      <c r="A221" s="9" t="s">
        <v>678</v>
      </c>
      <c r="B221" s="9" t="n">
        <v>5</v>
      </c>
      <c r="C221" s="10" t="n">
        <f aca="false">$B$4+30</f>
        <v>46351</v>
      </c>
      <c r="D221" s="9" t="s">
        <v>79</v>
      </c>
      <c r="E221" s="11" t="s">
        <v>37</v>
      </c>
      <c r="F221" s="11" t="s">
        <v>38</v>
      </c>
      <c r="G221" s="9" t="s">
        <v>306</v>
      </c>
      <c r="H221" s="11" t="s">
        <v>666</v>
      </c>
      <c r="I221" s="9" t="n">
        <v>5</v>
      </c>
      <c r="J221" s="11" t="s">
        <v>679</v>
      </c>
      <c r="K221" s="11"/>
      <c r="L221" s="11"/>
      <c r="M221" s="12" t="s">
        <v>67</v>
      </c>
      <c r="N221" s="13"/>
      <c r="O221" s="13"/>
    </row>
    <row r="222" customFormat="false" ht="15" hidden="false" customHeight="false" outlineLevel="0" collapsed="false">
      <c r="A222" s="9" t="s">
        <v>680</v>
      </c>
      <c r="B222" s="9" t="n">
        <v>5</v>
      </c>
      <c r="C222" s="10" t="n">
        <f aca="false">$B$4+30</f>
        <v>46351</v>
      </c>
      <c r="D222" s="9" t="s">
        <v>79</v>
      </c>
      <c r="E222" s="11" t="s">
        <v>37</v>
      </c>
      <c r="F222" s="11" t="s">
        <v>38</v>
      </c>
      <c r="G222" s="9" t="s">
        <v>306</v>
      </c>
      <c r="H222" s="11" t="s">
        <v>666</v>
      </c>
      <c r="I222" s="9" t="n">
        <v>6</v>
      </c>
      <c r="J222" s="11" t="s">
        <v>681</v>
      </c>
      <c r="K222" s="11"/>
      <c r="L222" s="11"/>
      <c r="M222" s="12" t="s">
        <v>67</v>
      </c>
      <c r="N222" s="13"/>
      <c r="O222" s="13"/>
    </row>
    <row r="223" customFormat="false" ht="15" hidden="false" customHeight="false" outlineLevel="0" collapsed="false">
      <c r="A223" s="9" t="s">
        <v>682</v>
      </c>
      <c r="B223" s="9" t="n">
        <v>5</v>
      </c>
      <c r="C223" s="10" t="n">
        <f aca="false">$B$4+31</f>
        <v>46352</v>
      </c>
      <c r="D223" s="9" t="s">
        <v>86</v>
      </c>
      <c r="E223" s="11" t="s">
        <v>37</v>
      </c>
      <c r="F223" s="11" t="s">
        <v>38</v>
      </c>
      <c r="G223" s="9" t="s">
        <v>306</v>
      </c>
      <c r="H223" s="11" t="s">
        <v>666</v>
      </c>
      <c r="I223" s="9" t="n">
        <v>7</v>
      </c>
      <c r="J223" s="11" t="s">
        <v>683</v>
      </c>
      <c r="K223" s="11"/>
      <c r="L223" s="11"/>
      <c r="M223" s="12" t="s">
        <v>67</v>
      </c>
      <c r="N223" s="13"/>
      <c r="O223" s="13"/>
    </row>
    <row r="224" customFormat="false" ht="15" hidden="false" customHeight="false" outlineLevel="0" collapsed="false">
      <c r="A224" s="9" t="s">
        <v>684</v>
      </c>
      <c r="B224" s="9" t="n">
        <v>5</v>
      </c>
      <c r="C224" s="10" t="n">
        <f aca="false">$B$4+31</f>
        <v>46352</v>
      </c>
      <c r="D224" s="9" t="s">
        <v>86</v>
      </c>
      <c r="E224" s="11" t="s">
        <v>37</v>
      </c>
      <c r="F224" s="11" t="s">
        <v>38</v>
      </c>
      <c r="G224" s="9" t="s">
        <v>306</v>
      </c>
      <c r="H224" s="11" t="s">
        <v>666</v>
      </c>
      <c r="I224" s="9" t="n">
        <v>8</v>
      </c>
      <c r="J224" s="11" t="s">
        <v>685</v>
      </c>
      <c r="K224" s="11" t="s">
        <v>686</v>
      </c>
      <c r="L224" s="11"/>
      <c r="M224" s="12" t="s">
        <v>67</v>
      </c>
      <c r="N224" s="13"/>
      <c r="O224" s="13"/>
    </row>
    <row r="225" customFormat="false" ht="15" hidden="false" customHeight="false" outlineLevel="0" collapsed="false">
      <c r="A225" s="9" t="s">
        <v>687</v>
      </c>
      <c r="B225" s="9" t="n">
        <v>5</v>
      </c>
      <c r="C225" s="10" t="n">
        <f aca="false">$B$4+32</f>
        <v>46353</v>
      </c>
      <c r="D225" s="9" t="s">
        <v>93</v>
      </c>
      <c r="E225" s="11" t="s">
        <v>37</v>
      </c>
      <c r="F225" s="11" t="s">
        <v>38</v>
      </c>
      <c r="G225" s="9" t="s">
        <v>306</v>
      </c>
      <c r="H225" s="11" t="s">
        <v>666</v>
      </c>
      <c r="I225" s="9" t="n">
        <v>9</v>
      </c>
      <c r="J225" s="11" t="s">
        <v>688</v>
      </c>
      <c r="K225" s="11"/>
      <c r="L225" s="11"/>
      <c r="M225" s="12" t="s">
        <v>67</v>
      </c>
      <c r="N225" s="13"/>
      <c r="O225" s="13"/>
    </row>
    <row r="226" customFormat="false" ht="15" hidden="false" customHeight="false" outlineLevel="0" collapsed="false">
      <c r="A226" s="9" t="s">
        <v>689</v>
      </c>
      <c r="B226" s="9" t="n">
        <v>5</v>
      </c>
      <c r="C226" s="10" t="n">
        <f aca="false">$B$4+32</f>
        <v>46353</v>
      </c>
      <c r="D226" s="9" t="s">
        <v>93</v>
      </c>
      <c r="E226" s="11" t="s">
        <v>37</v>
      </c>
      <c r="F226" s="11" t="s">
        <v>38</v>
      </c>
      <c r="G226" s="9" t="s">
        <v>306</v>
      </c>
      <c r="H226" s="11" t="s">
        <v>666</v>
      </c>
      <c r="I226" s="9" t="n">
        <v>10</v>
      </c>
      <c r="J226" s="11" t="s">
        <v>690</v>
      </c>
      <c r="K226" s="11" t="s">
        <v>691</v>
      </c>
      <c r="L226" s="11"/>
      <c r="M226" s="12" t="s">
        <v>67</v>
      </c>
      <c r="N226" s="13"/>
      <c r="O226" s="13"/>
    </row>
    <row r="227" customFormat="false" ht="15" hidden="false" customHeight="false" outlineLevel="0" collapsed="false">
      <c r="A227" s="9" t="s">
        <v>692</v>
      </c>
      <c r="B227" s="9" t="n">
        <v>5</v>
      </c>
      <c r="C227" s="10" t="n">
        <f aca="false">$B$4+28</f>
        <v>46349</v>
      </c>
      <c r="D227" s="9" t="s">
        <v>62</v>
      </c>
      <c r="E227" s="11" t="s">
        <v>39</v>
      </c>
      <c r="F227" s="11" t="s">
        <v>40</v>
      </c>
      <c r="G227" s="9" t="s">
        <v>134</v>
      </c>
      <c r="H227" s="11" t="s">
        <v>693</v>
      </c>
      <c r="I227" s="9" t="n">
        <v>1</v>
      </c>
      <c r="J227" s="11" t="s">
        <v>694</v>
      </c>
      <c r="K227" s="11" t="s">
        <v>695</v>
      </c>
      <c r="L227" s="11"/>
      <c r="M227" s="12" t="s">
        <v>67</v>
      </c>
      <c r="N227" s="13"/>
      <c r="O227" s="13"/>
    </row>
    <row r="228" customFormat="false" ht="15" hidden="false" customHeight="false" outlineLevel="0" collapsed="false">
      <c r="A228" s="9" t="s">
        <v>696</v>
      </c>
      <c r="B228" s="9" t="n">
        <v>5</v>
      </c>
      <c r="C228" s="10" t="n">
        <f aca="false">$B$4+28</f>
        <v>46349</v>
      </c>
      <c r="D228" s="9" t="s">
        <v>62</v>
      </c>
      <c r="E228" s="11" t="s">
        <v>39</v>
      </c>
      <c r="F228" s="11" t="s">
        <v>40</v>
      </c>
      <c r="G228" s="9" t="s">
        <v>134</v>
      </c>
      <c r="H228" s="11" t="s">
        <v>693</v>
      </c>
      <c r="I228" s="9" t="n">
        <v>2</v>
      </c>
      <c r="J228" s="11" t="s">
        <v>697</v>
      </c>
      <c r="K228" s="11"/>
      <c r="L228" s="11"/>
      <c r="M228" s="12" t="s">
        <v>67</v>
      </c>
      <c r="N228" s="13"/>
      <c r="O228" s="13"/>
    </row>
    <row r="229" customFormat="false" ht="15" hidden="false" customHeight="false" outlineLevel="0" collapsed="false">
      <c r="A229" s="9" t="s">
        <v>698</v>
      </c>
      <c r="B229" s="9" t="n">
        <v>5</v>
      </c>
      <c r="C229" s="10" t="n">
        <f aca="false">$B$4+29</f>
        <v>46350</v>
      </c>
      <c r="D229" s="9" t="s">
        <v>72</v>
      </c>
      <c r="E229" s="11" t="s">
        <v>39</v>
      </c>
      <c r="F229" s="11" t="s">
        <v>40</v>
      </c>
      <c r="G229" s="9" t="s">
        <v>134</v>
      </c>
      <c r="H229" s="11" t="s">
        <v>693</v>
      </c>
      <c r="I229" s="9" t="n">
        <v>3</v>
      </c>
      <c r="J229" s="11" t="s">
        <v>699</v>
      </c>
      <c r="K229" s="11" t="s">
        <v>674</v>
      </c>
      <c r="L229" s="11"/>
      <c r="M229" s="12" t="s">
        <v>67</v>
      </c>
      <c r="N229" s="13"/>
      <c r="O229" s="13"/>
    </row>
    <row r="230" customFormat="false" ht="15" hidden="false" customHeight="false" outlineLevel="0" collapsed="false">
      <c r="A230" s="9" t="s">
        <v>700</v>
      </c>
      <c r="B230" s="9" t="n">
        <v>5</v>
      </c>
      <c r="C230" s="10" t="n">
        <f aca="false">$B$4+29</f>
        <v>46350</v>
      </c>
      <c r="D230" s="9" t="s">
        <v>72</v>
      </c>
      <c r="E230" s="11" t="s">
        <v>39</v>
      </c>
      <c r="F230" s="11" t="s">
        <v>40</v>
      </c>
      <c r="G230" s="9" t="s">
        <v>134</v>
      </c>
      <c r="H230" s="11" t="s">
        <v>693</v>
      </c>
      <c r="I230" s="9" t="n">
        <v>4</v>
      </c>
      <c r="J230" s="11" t="s">
        <v>701</v>
      </c>
      <c r="K230" s="11"/>
      <c r="L230" s="11"/>
      <c r="M230" s="12" t="s">
        <v>67</v>
      </c>
      <c r="N230" s="13"/>
      <c r="O230" s="13"/>
    </row>
    <row r="231" customFormat="false" ht="15" hidden="false" customHeight="false" outlineLevel="0" collapsed="false">
      <c r="A231" s="9" t="s">
        <v>702</v>
      </c>
      <c r="B231" s="9" t="n">
        <v>5</v>
      </c>
      <c r="C231" s="10" t="n">
        <f aca="false">$B$4+30</f>
        <v>46351</v>
      </c>
      <c r="D231" s="9" t="s">
        <v>79</v>
      </c>
      <c r="E231" s="11" t="s">
        <v>39</v>
      </c>
      <c r="F231" s="11" t="s">
        <v>40</v>
      </c>
      <c r="G231" s="9" t="s">
        <v>134</v>
      </c>
      <c r="H231" s="11" t="s">
        <v>693</v>
      </c>
      <c r="I231" s="9" t="n">
        <v>5</v>
      </c>
      <c r="J231" s="11" t="s">
        <v>703</v>
      </c>
      <c r="K231" s="11"/>
      <c r="L231" s="11"/>
      <c r="M231" s="12" t="s">
        <v>67</v>
      </c>
      <c r="N231" s="13"/>
      <c r="O231" s="13"/>
    </row>
    <row r="232" customFormat="false" ht="15" hidden="false" customHeight="false" outlineLevel="0" collapsed="false">
      <c r="A232" s="9" t="s">
        <v>704</v>
      </c>
      <c r="B232" s="9" t="n">
        <v>5</v>
      </c>
      <c r="C232" s="10" t="n">
        <f aca="false">$B$4+30</f>
        <v>46351</v>
      </c>
      <c r="D232" s="9" t="s">
        <v>79</v>
      </c>
      <c r="E232" s="11" t="s">
        <v>39</v>
      </c>
      <c r="F232" s="11" t="s">
        <v>40</v>
      </c>
      <c r="G232" s="9" t="s">
        <v>134</v>
      </c>
      <c r="H232" s="11" t="s">
        <v>693</v>
      </c>
      <c r="I232" s="9" t="n">
        <v>6</v>
      </c>
      <c r="J232" s="11" t="s">
        <v>705</v>
      </c>
      <c r="K232" s="11"/>
      <c r="L232" s="11"/>
      <c r="M232" s="12" t="s">
        <v>67</v>
      </c>
      <c r="N232" s="13"/>
      <c r="O232" s="13"/>
    </row>
    <row r="233" customFormat="false" ht="15" hidden="false" customHeight="false" outlineLevel="0" collapsed="false">
      <c r="A233" s="9" t="s">
        <v>706</v>
      </c>
      <c r="B233" s="9" t="n">
        <v>5</v>
      </c>
      <c r="C233" s="10" t="n">
        <f aca="false">$B$4+31</f>
        <v>46352</v>
      </c>
      <c r="D233" s="9" t="s">
        <v>86</v>
      </c>
      <c r="E233" s="11" t="s">
        <v>39</v>
      </c>
      <c r="F233" s="11" t="s">
        <v>40</v>
      </c>
      <c r="G233" s="9" t="s">
        <v>134</v>
      </c>
      <c r="H233" s="11" t="s">
        <v>693</v>
      </c>
      <c r="I233" s="9" t="n">
        <v>7</v>
      </c>
      <c r="J233" s="11" t="s">
        <v>707</v>
      </c>
      <c r="K233" s="11"/>
      <c r="L233" s="11"/>
      <c r="M233" s="12" t="s">
        <v>67</v>
      </c>
      <c r="N233" s="13"/>
      <c r="O233" s="13"/>
    </row>
    <row r="234" customFormat="false" ht="15" hidden="false" customHeight="false" outlineLevel="0" collapsed="false">
      <c r="A234" s="9" t="s">
        <v>708</v>
      </c>
      <c r="B234" s="9" t="n">
        <v>5</v>
      </c>
      <c r="C234" s="10" t="n">
        <f aca="false">$B$4+31</f>
        <v>46352</v>
      </c>
      <c r="D234" s="9" t="s">
        <v>86</v>
      </c>
      <c r="E234" s="11" t="s">
        <v>39</v>
      </c>
      <c r="F234" s="11" t="s">
        <v>40</v>
      </c>
      <c r="G234" s="9" t="s">
        <v>134</v>
      </c>
      <c r="H234" s="11" t="s">
        <v>693</v>
      </c>
      <c r="I234" s="9" t="n">
        <v>8</v>
      </c>
      <c r="J234" s="11" t="s">
        <v>709</v>
      </c>
      <c r="K234" s="11"/>
      <c r="L234" s="11"/>
      <c r="M234" s="12" t="s">
        <v>67</v>
      </c>
      <c r="N234" s="13"/>
      <c r="O234" s="13"/>
    </row>
    <row r="235" customFormat="false" ht="15" hidden="false" customHeight="false" outlineLevel="0" collapsed="false">
      <c r="A235" s="9" t="s">
        <v>710</v>
      </c>
      <c r="B235" s="9" t="n">
        <v>5</v>
      </c>
      <c r="C235" s="10" t="n">
        <f aca="false">$B$4+32</f>
        <v>46353</v>
      </c>
      <c r="D235" s="9" t="s">
        <v>93</v>
      </c>
      <c r="E235" s="11" t="s">
        <v>39</v>
      </c>
      <c r="F235" s="11" t="s">
        <v>40</v>
      </c>
      <c r="G235" s="9" t="s">
        <v>134</v>
      </c>
      <c r="H235" s="11" t="s">
        <v>693</v>
      </c>
      <c r="I235" s="9" t="n">
        <v>9</v>
      </c>
      <c r="J235" s="11" t="s">
        <v>711</v>
      </c>
      <c r="K235" s="11"/>
      <c r="L235" s="11"/>
      <c r="M235" s="12" t="s">
        <v>67</v>
      </c>
      <c r="N235" s="13"/>
      <c r="O235" s="13"/>
    </row>
    <row r="236" customFormat="false" ht="15" hidden="false" customHeight="false" outlineLevel="0" collapsed="false">
      <c r="A236" s="9" t="s">
        <v>712</v>
      </c>
      <c r="B236" s="9" t="n">
        <v>5</v>
      </c>
      <c r="C236" s="10" t="n">
        <f aca="false">$B$4+32</f>
        <v>46353</v>
      </c>
      <c r="D236" s="9" t="s">
        <v>93</v>
      </c>
      <c r="E236" s="11" t="s">
        <v>39</v>
      </c>
      <c r="F236" s="11" t="s">
        <v>40</v>
      </c>
      <c r="G236" s="9" t="s">
        <v>134</v>
      </c>
      <c r="H236" s="11" t="s">
        <v>693</v>
      </c>
      <c r="I236" s="9" t="n">
        <v>10</v>
      </c>
      <c r="J236" s="11" t="s">
        <v>713</v>
      </c>
      <c r="K236" s="11"/>
      <c r="L236" s="11"/>
      <c r="M236" s="12" t="s">
        <v>67</v>
      </c>
      <c r="N236" s="13"/>
      <c r="O236" s="13"/>
    </row>
    <row r="237" customFormat="false" ht="15" hidden="false" customHeight="false" outlineLevel="0" collapsed="false">
      <c r="A237" s="9" t="s">
        <v>714</v>
      </c>
      <c r="B237" s="9" t="n">
        <v>5</v>
      </c>
      <c r="C237" s="10" t="n">
        <f aca="false">$B$4+28</f>
        <v>46349</v>
      </c>
      <c r="D237" s="9" t="s">
        <v>62</v>
      </c>
      <c r="E237" s="11" t="s">
        <v>41</v>
      </c>
      <c r="F237" s="11" t="s">
        <v>42</v>
      </c>
      <c r="G237" s="9" t="s">
        <v>306</v>
      </c>
      <c r="H237" s="11" t="s">
        <v>715</v>
      </c>
      <c r="I237" s="9" t="n">
        <v>1</v>
      </c>
      <c r="J237" s="11" t="s">
        <v>716</v>
      </c>
      <c r="K237" s="11" t="s">
        <v>717</v>
      </c>
      <c r="L237" s="11" t="s">
        <v>718</v>
      </c>
      <c r="M237" s="12" t="s">
        <v>67</v>
      </c>
      <c r="N237" s="13"/>
      <c r="O237" s="13"/>
    </row>
    <row r="238" customFormat="false" ht="15" hidden="false" customHeight="false" outlineLevel="0" collapsed="false">
      <c r="A238" s="9" t="s">
        <v>719</v>
      </c>
      <c r="B238" s="9" t="n">
        <v>5</v>
      </c>
      <c r="C238" s="10" t="n">
        <f aca="false">$B$4+28</f>
        <v>46349</v>
      </c>
      <c r="D238" s="9" t="s">
        <v>62</v>
      </c>
      <c r="E238" s="11" t="s">
        <v>41</v>
      </c>
      <c r="F238" s="11" t="s">
        <v>42</v>
      </c>
      <c r="G238" s="9" t="s">
        <v>306</v>
      </c>
      <c r="H238" s="11" t="s">
        <v>715</v>
      </c>
      <c r="I238" s="9" t="n">
        <v>2</v>
      </c>
      <c r="J238" s="11" t="s">
        <v>720</v>
      </c>
      <c r="K238" s="11"/>
      <c r="L238" s="11"/>
      <c r="M238" s="12" t="s">
        <v>67</v>
      </c>
      <c r="N238" s="13"/>
      <c r="O238" s="13"/>
    </row>
    <row r="239" customFormat="false" ht="15" hidden="false" customHeight="false" outlineLevel="0" collapsed="false">
      <c r="A239" s="9" t="s">
        <v>721</v>
      </c>
      <c r="B239" s="9" t="n">
        <v>5</v>
      </c>
      <c r="C239" s="10" t="n">
        <f aca="false">$B$4+29</f>
        <v>46350</v>
      </c>
      <c r="D239" s="9" t="s">
        <v>72</v>
      </c>
      <c r="E239" s="11" t="s">
        <v>41</v>
      </c>
      <c r="F239" s="11" t="s">
        <v>42</v>
      </c>
      <c r="G239" s="9" t="s">
        <v>306</v>
      </c>
      <c r="H239" s="11" t="s">
        <v>715</v>
      </c>
      <c r="I239" s="9" t="n">
        <v>3</v>
      </c>
      <c r="J239" s="11" t="s">
        <v>722</v>
      </c>
      <c r="K239" s="11"/>
      <c r="L239" s="11"/>
      <c r="M239" s="12" t="s">
        <v>67</v>
      </c>
      <c r="N239" s="13"/>
      <c r="O239" s="13"/>
    </row>
    <row r="240" customFormat="false" ht="15" hidden="false" customHeight="false" outlineLevel="0" collapsed="false">
      <c r="A240" s="9" t="s">
        <v>723</v>
      </c>
      <c r="B240" s="9" t="n">
        <v>5</v>
      </c>
      <c r="C240" s="10" t="n">
        <f aca="false">$B$4+29</f>
        <v>46350</v>
      </c>
      <c r="D240" s="9" t="s">
        <v>72</v>
      </c>
      <c r="E240" s="11" t="s">
        <v>41</v>
      </c>
      <c r="F240" s="11" t="s">
        <v>42</v>
      </c>
      <c r="G240" s="9" t="s">
        <v>306</v>
      </c>
      <c r="H240" s="11" t="s">
        <v>715</v>
      </c>
      <c r="I240" s="9" t="n">
        <v>4</v>
      </c>
      <c r="J240" s="11" t="s">
        <v>724</v>
      </c>
      <c r="K240" s="11"/>
      <c r="L240" s="11"/>
      <c r="M240" s="12" t="s">
        <v>67</v>
      </c>
      <c r="N240" s="13"/>
      <c r="O240" s="13"/>
    </row>
    <row r="241" customFormat="false" ht="15" hidden="false" customHeight="false" outlineLevel="0" collapsed="false">
      <c r="A241" s="9" t="s">
        <v>725</v>
      </c>
      <c r="B241" s="9" t="n">
        <v>5</v>
      </c>
      <c r="C241" s="10" t="n">
        <f aca="false">$B$4+30</f>
        <v>46351</v>
      </c>
      <c r="D241" s="9" t="s">
        <v>79</v>
      </c>
      <c r="E241" s="11" t="s">
        <v>41</v>
      </c>
      <c r="F241" s="11" t="s">
        <v>42</v>
      </c>
      <c r="G241" s="9" t="s">
        <v>306</v>
      </c>
      <c r="H241" s="11" t="s">
        <v>715</v>
      </c>
      <c r="I241" s="9" t="n">
        <v>5</v>
      </c>
      <c r="J241" s="11" t="s">
        <v>726</v>
      </c>
      <c r="K241" s="11"/>
      <c r="L241" s="11"/>
      <c r="M241" s="12" t="s">
        <v>67</v>
      </c>
      <c r="N241" s="13"/>
      <c r="O241" s="13"/>
    </row>
    <row r="242" customFormat="false" ht="15" hidden="false" customHeight="false" outlineLevel="0" collapsed="false">
      <c r="A242" s="9" t="s">
        <v>727</v>
      </c>
      <c r="B242" s="9" t="n">
        <v>5</v>
      </c>
      <c r="C242" s="10" t="n">
        <f aca="false">$B$4+30</f>
        <v>46351</v>
      </c>
      <c r="D242" s="9" t="s">
        <v>79</v>
      </c>
      <c r="E242" s="11" t="s">
        <v>41</v>
      </c>
      <c r="F242" s="11" t="s">
        <v>42</v>
      </c>
      <c r="G242" s="9" t="s">
        <v>306</v>
      </c>
      <c r="H242" s="11" t="s">
        <v>715</v>
      </c>
      <c r="I242" s="9" t="n">
        <v>6</v>
      </c>
      <c r="J242" s="11" t="s">
        <v>728</v>
      </c>
      <c r="K242" s="11"/>
      <c r="L242" s="11"/>
      <c r="M242" s="12" t="s">
        <v>67</v>
      </c>
      <c r="N242" s="13"/>
      <c r="O242" s="13"/>
    </row>
    <row r="243" customFormat="false" ht="15" hidden="false" customHeight="false" outlineLevel="0" collapsed="false">
      <c r="A243" s="9" t="s">
        <v>729</v>
      </c>
      <c r="B243" s="9" t="n">
        <v>5</v>
      </c>
      <c r="C243" s="10" t="n">
        <f aca="false">$B$4+31</f>
        <v>46352</v>
      </c>
      <c r="D243" s="9" t="s">
        <v>86</v>
      </c>
      <c r="E243" s="11" t="s">
        <v>41</v>
      </c>
      <c r="F243" s="11" t="s">
        <v>42</v>
      </c>
      <c r="G243" s="9" t="s">
        <v>306</v>
      </c>
      <c r="H243" s="11" t="s">
        <v>715</v>
      </c>
      <c r="I243" s="9" t="n">
        <v>7</v>
      </c>
      <c r="J243" s="11" t="s">
        <v>730</v>
      </c>
      <c r="K243" s="11"/>
      <c r="L243" s="11"/>
      <c r="M243" s="12" t="s">
        <v>67</v>
      </c>
      <c r="N243" s="13"/>
      <c r="O243" s="13"/>
    </row>
    <row r="244" customFormat="false" ht="15" hidden="false" customHeight="false" outlineLevel="0" collapsed="false">
      <c r="A244" s="9" t="s">
        <v>731</v>
      </c>
      <c r="B244" s="9" t="n">
        <v>5</v>
      </c>
      <c r="C244" s="10" t="n">
        <f aca="false">$B$4+31</f>
        <v>46352</v>
      </c>
      <c r="D244" s="9" t="s">
        <v>86</v>
      </c>
      <c r="E244" s="11" t="s">
        <v>41</v>
      </c>
      <c r="F244" s="11" t="s">
        <v>42</v>
      </c>
      <c r="G244" s="9" t="s">
        <v>306</v>
      </c>
      <c r="H244" s="11" t="s">
        <v>715</v>
      </c>
      <c r="I244" s="9" t="n">
        <v>8</v>
      </c>
      <c r="J244" s="11" t="s">
        <v>732</v>
      </c>
      <c r="K244" s="11"/>
      <c r="L244" s="11"/>
      <c r="M244" s="12" t="s">
        <v>67</v>
      </c>
      <c r="N244" s="13"/>
      <c r="O244" s="13"/>
    </row>
    <row r="245" customFormat="false" ht="15" hidden="false" customHeight="false" outlineLevel="0" collapsed="false">
      <c r="A245" s="9" t="s">
        <v>733</v>
      </c>
      <c r="B245" s="9" t="n">
        <v>5</v>
      </c>
      <c r="C245" s="10" t="n">
        <f aca="false">$B$4+32</f>
        <v>46353</v>
      </c>
      <c r="D245" s="9" t="s">
        <v>93</v>
      </c>
      <c r="E245" s="11" t="s">
        <v>41</v>
      </c>
      <c r="F245" s="11" t="s">
        <v>42</v>
      </c>
      <c r="G245" s="9" t="s">
        <v>306</v>
      </c>
      <c r="H245" s="11" t="s">
        <v>715</v>
      </c>
      <c r="I245" s="9" t="n">
        <v>9</v>
      </c>
      <c r="J245" s="11" t="s">
        <v>734</v>
      </c>
      <c r="K245" s="11"/>
      <c r="L245" s="11"/>
      <c r="M245" s="12" t="s">
        <v>67</v>
      </c>
      <c r="N245" s="13"/>
      <c r="O245" s="13"/>
    </row>
    <row r="246" customFormat="false" ht="15" hidden="false" customHeight="false" outlineLevel="0" collapsed="false">
      <c r="A246" s="9" t="s">
        <v>735</v>
      </c>
      <c r="B246" s="9" t="n">
        <v>5</v>
      </c>
      <c r="C246" s="10" t="n">
        <f aca="false">$B$4+32</f>
        <v>46353</v>
      </c>
      <c r="D246" s="9" t="s">
        <v>93</v>
      </c>
      <c r="E246" s="11" t="s">
        <v>41</v>
      </c>
      <c r="F246" s="11" t="s">
        <v>42</v>
      </c>
      <c r="G246" s="9" t="s">
        <v>306</v>
      </c>
      <c r="H246" s="11" t="s">
        <v>715</v>
      </c>
      <c r="I246" s="9" t="n">
        <v>10</v>
      </c>
      <c r="J246" s="11" t="s">
        <v>736</v>
      </c>
      <c r="K246" s="11"/>
      <c r="L246" s="11"/>
      <c r="M246" s="12" t="s">
        <v>67</v>
      </c>
      <c r="N246" s="13"/>
      <c r="O246" s="13"/>
    </row>
    <row r="247" customFormat="false" ht="15" hidden="false" customHeight="false" outlineLevel="0" collapsed="false">
      <c r="A247" s="9" t="s">
        <v>737</v>
      </c>
      <c r="B247" s="9" t="n">
        <v>5</v>
      </c>
      <c r="C247" s="10" t="n">
        <f aca="false">$B$4+28</f>
        <v>46349</v>
      </c>
      <c r="D247" s="9" t="s">
        <v>62</v>
      </c>
      <c r="E247" s="11" t="s">
        <v>43</v>
      </c>
      <c r="F247" s="11" t="s">
        <v>44</v>
      </c>
      <c r="G247" s="9" t="s">
        <v>187</v>
      </c>
      <c r="H247" s="11" t="s">
        <v>738</v>
      </c>
      <c r="I247" s="9" t="n">
        <v>1</v>
      </c>
      <c r="J247" s="11" t="s">
        <v>739</v>
      </c>
      <c r="K247" s="11"/>
      <c r="L247" s="11" t="s">
        <v>740</v>
      </c>
      <c r="M247" s="12" t="s">
        <v>67</v>
      </c>
      <c r="N247" s="13"/>
      <c r="O247" s="13"/>
    </row>
    <row r="248" customFormat="false" ht="15" hidden="false" customHeight="false" outlineLevel="0" collapsed="false">
      <c r="A248" s="9" t="s">
        <v>741</v>
      </c>
      <c r="B248" s="9" t="n">
        <v>5</v>
      </c>
      <c r="C248" s="10" t="n">
        <f aca="false">$B$4+28</f>
        <v>46349</v>
      </c>
      <c r="D248" s="9" t="s">
        <v>62</v>
      </c>
      <c r="E248" s="11" t="s">
        <v>43</v>
      </c>
      <c r="F248" s="11" t="s">
        <v>44</v>
      </c>
      <c r="G248" s="9" t="s">
        <v>187</v>
      </c>
      <c r="H248" s="11" t="s">
        <v>738</v>
      </c>
      <c r="I248" s="9" t="n">
        <v>2</v>
      </c>
      <c r="J248" s="11" t="s">
        <v>742</v>
      </c>
      <c r="K248" s="11"/>
      <c r="L248" s="11"/>
      <c r="M248" s="12" t="s">
        <v>67</v>
      </c>
      <c r="N248" s="13"/>
      <c r="O248" s="13"/>
    </row>
    <row r="249" customFormat="false" ht="15" hidden="false" customHeight="false" outlineLevel="0" collapsed="false">
      <c r="A249" s="9" t="s">
        <v>743</v>
      </c>
      <c r="B249" s="9" t="n">
        <v>5</v>
      </c>
      <c r="C249" s="10" t="n">
        <f aca="false">$B$4+29</f>
        <v>46350</v>
      </c>
      <c r="D249" s="9" t="s">
        <v>72</v>
      </c>
      <c r="E249" s="11" t="s">
        <v>43</v>
      </c>
      <c r="F249" s="11" t="s">
        <v>44</v>
      </c>
      <c r="G249" s="9" t="s">
        <v>187</v>
      </c>
      <c r="H249" s="11" t="s">
        <v>738</v>
      </c>
      <c r="I249" s="9" t="n">
        <v>3</v>
      </c>
      <c r="J249" s="11" t="s">
        <v>744</v>
      </c>
      <c r="K249" s="11"/>
      <c r="L249" s="11"/>
      <c r="M249" s="12" t="s">
        <v>67</v>
      </c>
      <c r="N249" s="13"/>
      <c r="O249" s="13"/>
    </row>
    <row r="250" customFormat="false" ht="15" hidden="false" customHeight="false" outlineLevel="0" collapsed="false">
      <c r="A250" s="9" t="s">
        <v>745</v>
      </c>
      <c r="B250" s="9" t="n">
        <v>5</v>
      </c>
      <c r="C250" s="10" t="n">
        <f aca="false">$B$4+29</f>
        <v>46350</v>
      </c>
      <c r="D250" s="9" t="s">
        <v>72</v>
      </c>
      <c r="E250" s="11" t="s">
        <v>43</v>
      </c>
      <c r="F250" s="11" t="s">
        <v>44</v>
      </c>
      <c r="G250" s="9" t="s">
        <v>187</v>
      </c>
      <c r="H250" s="11" t="s">
        <v>738</v>
      </c>
      <c r="I250" s="9" t="n">
        <v>4</v>
      </c>
      <c r="J250" s="11" t="s">
        <v>746</v>
      </c>
      <c r="K250" s="11" t="s">
        <v>674</v>
      </c>
      <c r="L250" s="11"/>
      <c r="M250" s="12" t="s">
        <v>67</v>
      </c>
      <c r="N250" s="13"/>
      <c r="O250" s="13"/>
    </row>
    <row r="251" customFormat="false" ht="15" hidden="false" customHeight="false" outlineLevel="0" collapsed="false">
      <c r="A251" s="9" t="s">
        <v>747</v>
      </c>
      <c r="B251" s="9" t="n">
        <v>5</v>
      </c>
      <c r="C251" s="10" t="n">
        <f aca="false">$B$4+30</f>
        <v>46351</v>
      </c>
      <c r="D251" s="9" t="s">
        <v>79</v>
      </c>
      <c r="E251" s="11" t="s">
        <v>43</v>
      </c>
      <c r="F251" s="11" t="s">
        <v>44</v>
      </c>
      <c r="G251" s="9" t="s">
        <v>187</v>
      </c>
      <c r="H251" s="11" t="s">
        <v>738</v>
      </c>
      <c r="I251" s="9" t="n">
        <v>5</v>
      </c>
      <c r="J251" s="11" t="s">
        <v>748</v>
      </c>
      <c r="K251" s="11"/>
      <c r="L251" s="11"/>
      <c r="M251" s="12" t="s">
        <v>67</v>
      </c>
      <c r="N251" s="13"/>
      <c r="O251" s="13"/>
    </row>
    <row r="252" customFormat="false" ht="15" hidden="false" customHeight="false" outlineLevel="0" collapsed="false">
      <c r="A252" s="9" t="s">
        <v>749</v>
      </c>
      <c r="B252" s="9" t="n">
        <v>5</v>
      </c>
      <c r="C252" s="10" t="n">
        <f aca="false">$B$4+30</f>
        <v>46351</v>
      </c>
      <c r="D252" s="9" t="s">
        <v>79</v>
      </c>
      <c r="E252" s="11" t="s">
        <v>43</v>
      </c>
      <c r="F252" s="11" t="s">
        <v>44</v>
      </c>
      <c r="G252" s="9" t="s">
        <v>187</v>
      </c>
      <c r="H252" s="11" t="s">
        <v>738</v>
      </c>
      <c r="I252" s="9" t="n">
        <v>6</v>
      </c>
      <c r="J252" s="11" t="s">
        <v>750</v>
      </c>
      <c r="K252" s="11"/>
      <c r="L252" s="11"/>
      <c r="M252" s="12" t="s">
        <v>67</v>
      </c>
      <c r="N252" s="13"/>
      <c r="O252" s="13"/>
    </row>
    <row r="253" customFormat="false" ht="15" hidden="false" customHeight="false" outlineLevel="0" collapsed="false">
      <c r="A253" s="9" t="s">
        <v>751</v>
      </c>
      <c r="B253" s="9" t="n">
        <v>5</v>
      </c>
      <c r="C253" s="10" t="n">
        <f aca="false">$B$4+31</f>
        <v>46352</v>
      </c>
      <c r="D253" s="9" t="s">
        <v>86</v>
      </c>
      <c r="E253" s="11" t="s">
        <v>43</v>
      </c>
      <c r="F253" s="11" t="s">
        <v>44</v>
      </c>
      <c r="G253" s="9" t="s">
        <v>187</v>
      </c>
      <c r="H253" s="11" t="s">
        <v>738</v>
      </c>
      <c r="I253" s="9" t="n">
        <v>7</v>
      </c>
      <c r="J253" s="11" t="s">
        <v>752</v>
      </c>
      <c r="K253" s="11"/>
      <c r="L253" s="11"/>
      <c r="M253" s="12" t="s">
        <v>67</v>
      </c>
      <c r="N253" s="13"/>
      <c r="O253" s="13"/>
    </row>
    <row r="254" customFormat="false" ht="15" hidden="false" customHeight="false" outlineLevel="0" collapsed="false">
      <c r="A254" s="9" t="s">
        <v>753</v>
      </c>
      <c r="B254" s="9" t="n">
        <v>5</v>
      </c>
      <c r="C254" s="10" t="n">
        <f aca="false">$B$4+31</f>
        <v>46352</v>
      </c>
      <c r="D254" s="9" t="s">
        <v>86</v>
      </c>
      <c r="E254" s="11" t="s">
        <v>43</v>
      </c>
      <c r="F254" s="11" t="s">
        <v>44</v>
      </c>
      <c r="G254" s="9" t="s">
        <v>187</v>
      </c>
      <c r="H254" s="11" t="s">
        <v>738</v>
      </c>
      <c r="I254" s="9" t="n">
        <v>8</v>
      </c>
      <c r="J254" s="11" t="s">
        <v>754</v>
      </c>
      <c r="K254" s="11"/>
      <c r="L254" s="11"/>
      <c r="M254" s="12" t="s">
        <v>67</v>
      </c>
      <c r="N254" s="13"/>
      <c r="O254" s="13"/>
    </row>
    <row r="255" customFormat="false" ht="15" hidden="false" customHeight="false" outlineLevel="0" collapsed="false">
      <c r="A255" s="9" t="s">
        <v>755</v>
      </c>
      <c r="B255" s="9" t="n">
        <v>5</v>
      </c>
      <c r="C255" s="10" t="n">
        <f aca="false">$B$4+32</f>
        <v>46353</v>
      </c>
      <c r="D255" s="9" t="s">
        <v>93</v>
      </c>
      <c r="E255" s="11" t="s">
        <v>43</v>
      </c>
      <c r="F255" s="11" t="s">
        <v>44</v>
      </c>
      <c r="G255" s="9" t="s">
        <v>187</v>
      </c>
      <c r="H255" s="11" t="s">
        <v>738</v>
      </c>
      <c r="I255" s="9" t="n">
        <v>9</v>
      </c>
      <c r="J255" s="11" t="s">
        <v>756</v>
      </c>
      <c r="K255" s="11"/>
      <c r="L255" s="11"/>
      <c r="M255" s="12" t="s">
        <v>67</v>
      </c>
      <c r="N255" s="13"/>
      <c r="O255" s="13"/>
    </row>
    <row r="256" customFormat="false" ht="15" hidden="false" customHeight="false" outlineLevel="0" collapsed="false">
      <c r="A256" s="9" t="s">
        <v>757</v>
      </c>
      <c r="B256" s="9" t="n">
        <v>5</v>
      </c>
      <c r="C256" s="10" t="n">
        <f aca="false">$B$4+32</f>
        <v>46353</v>
      </c>
      <c r="D256" s="9" t="s">
        <v>93</v>
      </c>
      <c r="E256" s="11" t="s">
        <v>43</v>
      </c>
      <c r="F256" s="11" t="s">
        <v>44</v>
      </c>
      <c r="G256" s="9" t="s">
        <v>187</v>
      </c>
      <c r="H256" s="11" t="s">
        <v>738</v>
      </c>
      <c r="I256" s="9" t="n">
        <v>10</v>
      </c>
      <c r="J256" s="11" t="s">
        <v>758</v>
      </c>
      <c r="K256" s="11"/>
      <c r="L256" s="11"/>
      <c r="M256" s="12" t="s">
        <v>67</v>
      </c>
      <c r="N256" s="13"/>
      <c r="O256" s="13"/>
    </row>
  </sheetData>
  <autoFilter ref="A6:O256"/>
  <conditionalFormatting sqref="M7:M256">
    <cfRule type="cellIs" priority="2" operator="equal" aboveAverage="0" equalAverage="0" bottom="0" percent="0" rank="0" text="" dxfId="6">
      <formula>"Done"</formula>
    </cfRule>
    <cfRule type="cellIs" priority="3" operator="equal" aboveAverage="0" equalAverage="0" bottom="0" percent="0" rank="0" text="" dxfId="7">
      <formula>"Đang làm"</formula>
    </cfRule>
    <cfRule type="cellIs" priority="4" operator="equal" aboveAverage="0" equalAverage="0" bottom="0" percent="0" rank="0" text="" dxfId="8">
      <formula>"Dời"</formula>
    </cfRule>
  </conditionalFormatting>
  <dataValidations count="1">
    <dataValidation allowBlank="true" errorStyle="stop" operator="between" showDropDown="false" showErrorMessage="false" showInputMessage="false" sqref="M7:M256" type="list">
      <formula1>"Todo,Đang làm,Done,Dời"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7" min="2" style="0" width="11"/>
  </cols>
  <sheetData>
    <row r="1" customFormat="false" ht="17.35" hidden="false" customHeight="false" outlineLevel="0" collapsed="false">
      <c r="A1" s="1" t="s">
        <v>759</v>
      </c>
    </row>
    <row r="2" customFormat="false" ht="15" hidden="false" customHeight="false" outlineLevel="0" collapsed="false">
      <c r="A2" s="4" t="s">
        <v>760</v>
      </c>
      <c r="B2" s="17" t="n">
        <v>10</v>
      </c>
    </row>
    <row r="4" customFormat="false" ht="15" hidden="false" customHeight="false" outlineLevel="0" collapsed="false">
      <c r="A4" s="4" t="s">
        <v>761</v>
      </c>
    </row>
    <row r="5" customFormat="false" ht="15" hidden="false" customHeight="false" outlineLevel="0" collapsed="false">
      <c r="A5" s="8" t="s">
        <v>34</v>
      </c>
      <c r="B5" s="8" t="s">
        <v>24</v>
      </c>
      <c r="C5" s="8" t="s">
        <v>26</v>
      </c>
      <c r="D5" s="8" t="s">
        <v>28</v>
      </c>
      <c r="E5" s="8" t="s">
        <v>30</v>
      </c>
      <c r="F5" s="8" t="s">
        <v>32</v>
      </c>
      <c r="G5" s="8" t="s">
        <v>762</v>
      </c>
    </row>
    <row r="6" customFormat="false" ht="15" hidden="false" customHeight="false" outlineLevel="0" collapsed="false">
      <c r="A6" s="18" t="s">
        <v>35</v>
      </c>
      <c r="B6" s="19" t="n">
        <f aca="false">COUNTIFS('Lịch chi tiết'!$E$7:$E$256,$A6,'Lịch chi tiết'!$B$7:$B$256,1)</f>
        <v>10</v>
      </c>
      <c r="C6" s="19" t="n">
        <f aca="false">COUNTIFS('Lịch chi tiết'!$E$7:$E$256,$A6,'Lịch chi tiết'!$B$7:$B$256,2)</f>
        <v>10</v>
      </c>
      <c r="D6" s="19" t="n">
        <f aca="false">COUNTIFS('Lịch chi tiết'!$E$7:$E$256,$A6,'Lịch chi tiết'!$B$7:$B$256,3)</f>
        <v>10</v>
      </c>
      <c r="E6" s="19" t="n">
        <f aca="false">COUNTIFS('Lịch chi tiết'!$E$7:$E$256,$A6,'Lịch chi tiết'!$B$7:$B$256,4)</f>
        <v>10</v>
      </c>
      <c r="F6" s="19" t="n">
        <f aca="false">COUNTIFS('Lịch chi tiết'!$E$7:$E$256,$A6,'Lịch chi tiết'!$B$7:$B$256,5)</f>
        <v>10</v>
      </c>
      <c r="G6" s="20" t="n">
        <f aca="false">SUM(B6:F6)</f>
        <v>50</v>
      </c>
    </row>
    <row r="7" customFormat="false" ht="15" hidden="false" customHeight="false" outlineLevel="0" collapsed="false">
      <c r="A7" s="18" t="s">
        <v>37</v>
      </c>
      <c r="B7" s="19" t="n">
        <f aca="false">COUNTIFS('Lịch chi tiết'!$E$7:$E$256,$A7,'Lịch chi tiết'!$B$7:$B$256,1)</f>
        <v>10</v>
      </c>
      <c r="C7" s="19" t="n">
        <f aca="false">COUNTIFS('Lịch chi tiết'!$E$7:$E$256,$A7,'Lịch chi tiết'!$B$7:$B$256,2)</f>
        <v>10</v>
      </c>
      <c r="D7" s="19" t="n">
        <f aca="false">COUNTIFS('Lịch chi tiết'!$E$7:$E$256,$A7,'Lịch chi tiết'!$B$7:$B$256,3)</f>
        <v>10</v>
      </c>
      <c r="E7" s="19" t="n">
        <f aca="false">COUNTIFS('Lịch chi tiết'!$E$7:$E$256,$A7,'Lịch chi tiết'!$B$7:$B$256,4)</f>
        <v>10</v>
      </c>
      <c r="F7" s="19" t="n">
        <f aca="false">COUNTIFS('Lịch chi tiết'!$E$7:$E$256,$A7,'Lịch chi tiết'!$B$7:$B$256,5)</f>
        <v>10</v>
      </c>
      <c r="G7" s="20" t="n">
        <f aca="false">SUM(B7:F7)</f>
        <v>50</v>
      </c>
    </row>
    <row r="8" customFormat="false" ht="15" hidden="false" customHeight="false" outlineLevel="0" collapsed="false">
      <c r="A8" s="18" t="s">
        <v>39</v>
      </c>
      <c r="B8" s="19" t="n">
        <f aca="false">COUNTIFS('Lịch chi tiết'!$E$7:$E$256,$A8,'Lịch chi tiết'!$B$7:$B$256,1)</f>
        <v>10</v>
      </c>
      <c r="C8" s="19" t="n">
        <f aca="false">COUNTIFS('Lịch chi tiết'!$E$7:$E$256,$A8,'Lịch chi tiết'!$B$7:$B$256,2)</f>
        <v>10</v>
      </c>
      <c r="D8" s="19" t="n">
        <f aca="false">COUNTIFS('Lịch chi tiết'!$E$7:$E$256,$A8,'Lịch chi tiết'!$B$7:$B$256,3)</f>
        <v>10</v>
      </c>
      <c r="E8" s="19" t="n">
        <f aca="false">COUNTIFS('Lịch chi tiết'!$E$7:$E$256,$A8,'Lịch chi tiết'!$B$7:$B$256,4)</f>
        <v>10</v>
      </c>
      <c r="F8" s="19" t="n">
        <f aca="false">COUNTIFS('Lịch chi tiết'!$E$7:$E$256,$A8,'Lịch chi tiết'!$B$7:$B$256,5)</f>
        <v>10</v>
      </c>
      <c r="G8" s="20" t="n">
        <f aca="false">SUM(B8:F8)</f>
        <v>50</v>
      </c>
    </row>
    <row r="9" customFormat="false" ht="15" hidden="false" customHeight="false" outlineLevel="0" collapsed="false">
      <c r="A9" s="18" t="s">
        <v>41</v>
      </c>
      <c r="B9" s="19" t="n">
        <f aca="false">COUNTIFS('Lịch chi tiết'!$E$7:$E$256,$A9,'Lịch chi tiết'!$B$7:$B$256,1)</f>
        <v>10</v>
      </c>
      <c r="C9" s="19" t="n">
        <f aca="false">COUNTIFS('Lịch chi tiết'!$E$7:$E$256,$A9,'Lịch chi tiết'!$B$7:$B$256,2)</f>
        <v>10</v>
      </c>
      <c r="D9" s="19" t="n">
        <f aca="false">COUNTIFS('Lịch chi tiết'!$E$7:$E$256,$A9,'Lịch chi tiết'!$B$7:$B$256,3)</f>
        <v>10</v>
      </c>
      <c r="E9" s="19" t="n">
        <f aca="false">COUNTIFS('Lịch chi tiết'!$E$7:$E$256,$A9,'Lịch chi tiết'!$B$7:$B$256,4)</f>
        <v>10</v>
      </c>
      <c r="F9" s="19" t="n">
        <f aca="false">COUNTIFS('Lịch chi tiết'!$E$7:$E$256,$A9,'Lịch chi tiết'!$B$7:$B$256,5)</f>
        <v>10</v>
      </c>
      <c r="G9" s="20" t="n">
        <f aca="false">SUM(B9:F9)</f>
        <v>50</v>
      </c>
    </row>
    <row r="10" customFormat="false" ht="15" hidden="false" customHeight="false" outlineLevel="0" collapsed="false">
      <c r="A10" s="18" t="s">
        <v>43</v>
      </c>
      <c r="B10" s="19" t="n">
        <f aca="false">COUNTIFS('Lịch chi tiết'!$E$7:$E$256,$A10,'Lịch chi tiết'!$B$7:$B$256,1)</f>
        <v>10</v>
      </c>
      <c r="C10" s="19" t="n">
        <f aca="false">COUNTIFS('Lịch chi tiết'!$E$7:$E$256,$A10,'Lịch chi tiết'!$B$7:$B$256,2)</f>
        <v>10</v>
      </c>
      <c r="D10" s="19" t="n">
        <f aca="false">COUNTIFS('Lịch chi tiết'!$E$7:$E$256,$A10,'Lịch chi tiết'!$B$7:$B$256,3)</f>
        <v>10</v>
      </c>
      <c r="E10" s="19" t="n">
        <f aca="false">COUNTIFS('Lịch chi tiết'!$E$7:$E$256,$A10,'Lịch chi tiết'!$B$7:$B$256,4)</f>
        <v>10</v>
      </c>
      <c r="F10" s="19" t="n">
        <f aca="false">COUNTIFS('Lịch chi tiết'!$E$7:$E$256,$A10,'Lịch chi tiết'!$B$7:$B$256,5)</f>
        <v>10</v>
      </c>
      <c r="G10" s="20" t="n">
        <f aca="false">SUM(B10:F10)</f>
        <v>50</v>
      </c>
    </row>
    <row r="11" customFormat="false" ht="15" hidden="false" customHeight="false" outlineLevel="0" collapsed="false">
      <c r="A11" s="21" t="s">
        <v>718</v>
      </c>
      <c r="B11" s="20" t="n">
        <f aca="false">SUM(B6:B10)</f>
        <v>50</v>
      </c>
      <c r="C11" s="20" t="n">
        <f aca="false">SUM(C6:C10)</f>
        <v>50</v>
      </c>
      <c r="D11" s="20" t="n">
        <f aca="false">SUM(D6:D10)</f>
        <v>50</v>
      </c>
      <c r="E11" s="20" t="n">
        <f aca="false">SUM(E6:E10)</f>
        <v>50</v>
      </c>
      <c r="F11" s="20" t="n">
        <f aca="false">SUM(F6:F10)</f>
        <v>50</v>
      </c>
      <c r="G11" s="20" t="n">
        <f aca="false">SUM(G6:G10)</f>
        <v>250</v>
      </c>
    </row>
    <row r="14" customFormat="false" ht="15" hidden="false" customHeight="false" outlineLevel="0" collapsed="false">
      <c r="A14" s="4" t="s">
        <v>763</v>
      </c>
    </row>
    <row r="15" customFormat="false" ht="15" hidden="false" customHeight="false" outlineLevel="0" collapsed="false">
      <c r="A15" s="8" t="s">
        <v>34</v>
      </c>
      <c r="B15" s="8" t="s">
        <v>24</v>
      </c>
      <c r="C15" s="8" t="s">
        <v>26</v>
      </c>
      <c r="D15" s="8" t="s">
        <v>28</v>
      </c>
      <c r="E15" s="8" t="s">
        <v>30</v>
      </c>
      <c r="F15" s="8" t="s">
        <v>32</v>
      </c>
      <c r="G15" s="8" t="s">
        <v>762</v>
      </c>
    </row>
    <row r="16" customFormat="false" ht="15" hidden="false" customHeight="false" outlineLevel="0" collapsed="false">
      <c r="A16" s="18" t="s">
        <v>35</v>
      </c>
      <c r="B16" s="19" t="n">
        <f aca="false">COUNTIFS('Lịch chi tiết'!$E$7:$E$256,$A16,'Lịch chi tiết'!$B$7:$B$256,1,'Lịch chi tiết'!$M$7:$M$256,"Done")</f>
        <v>0</v>
      </c>
      <c r="C16" s="19" t="n">
        <f aca="false">COUNTIFS('Lịch chi tiết'!$E$7:$E$256,$A16,'Lịch chi tiết'!$B$7:$B$256,2,'Lịch chi tiết'!$M$7:$M$256,"Done")</f>
        <v>0</v>
      </c>
      <c r="D16" s="19" t="n">
        <f aca="false">COUNTIFS('Lịch chi tiết'!$E$7:$E$256,$A16,'Lịch chi tiết'!$B$7:$B$256,3,'Lịch chi tiết'!$M$7:$M$256,"Done")</f>
        <v>0</v>
      </c>
      <c r="E16" s="19" t="n">
        <f aca="false">COUNTIFS('Lịch chi tiết'!$E$7:$E$256,$A16,'Lịch chi tiết'!$B$7:$B$256,4,'Lịch chi tiết'!$M$7:$M$256,"Done")</f>
        <v>0</v>
      </c>
      <c r="F16" s="19" t="n">
        <f aca="false">COUNTIFS('Lịch chi tiết'!$E$7:$E$256,$A16,'Lịch chi tiết'!$B$7:$B$256,5,'Lịch chi tiết'!$M$7:$M$256,"Done")</f>
        <v>0</v>
      </c>
      <c r="G16" s="20" t="n">
        <f aca="false">SUM(B16:F16)</f>
        <v>0</v>
      </c>
    </row>
    <row r="17" customFormat="false" ht="15" hidden="false" customHeight="false" outlineLevel="0" collapsed="false">
      <c r="A17" s="18" t="s">
        <v>37</v>
      </c>
      <c r="B17" s="19" t="n">
        <f aca="false">COUNTIFS('Lịch chi tiết'!$E$7:$E$256,$A17,'Lịch chi tiết'!$B$7:$B$256,1,'Lịch chi tiết'!$M$7:$M$256,"Done")</f>
        <v>0</v>
      </c>
      <c r="C17" s="19" t="n">
        <f aca="false">COUNTIFS('Lịch chi tiết'!$E$7:$E$256,$A17,'Lịch chi tiết'!$B$7:$B$256,2,'Lịch chi tiết'!$M$7:$M$256,"Done")</f>
        <v>0</v>
      </c>
      <c r="D17" s="19" t="n">
        <f aca="false">COUNTIFS('Lịch chi tiết'!$E$7:$E$256,$A17,'Lịch chi tiết'!$B$7:$B$256,3,'Lịch chi tiết'!$M$7:$M$256,"Done")</f>
        <v>0</v>
      </c>
      <c r="E17" s="19" t="n">
        <f aca="false">COUNTIFS('Lịch chi tiết'!$E$7:$E$256,$A17,'Lịch chi tiết'!$B$7:$B$256,4,'Lịch chi tiết'!$M$7:$M$256,"Done")</f>
        <v>0</v>
      </c>
      <c r="F17" s="19" t="n">
        <f aca="false">COUNTIFS('Lịch chi tiết'!$E$7:$E$256,$A17,'Lịch chi tiết'!$B$7:$B$256,5,'Lịch chi tiết'!$M$7:$M$256,"Done")</f>
        <v>0</v>
      </c>
      <c r="G17" s="20" t="n">
        <f aca="false">SUM(B17:F17)</f>
        <v>0</v>
      </c>
    </row>
    <row r="18" customFormat="false" ht="15" hidden="false" customHeight="false" outlineLevel="0" collapsed="false">
      <c r="A18" s="18" t="s">
        <v>39</v>
      </c>
      <c r="B18" s="19" t="n">
        <f aca="false">COUNTIFS('Lịch chi tiết'!$E$7:$E$256,$A18,'Lịch chi tiết'!$B$7:$B$256,1,'Lịch chi tiết'!$M$7:$M$256,"Done")</f>
        <v>0</v>
      </c>
      <c r="C18" s="19" t="n">
        <f aca="false">COUNTIFS('Lịch chi tiết'!$E$7:$E$256,$A18,'Lịch chi tiết'!$B$7:$B$256,2,'Lịch chi tiết'!$M$7:$M$256,"Done")</f>
        <v>0</v>
      </c>
      <c r="D18" s="19" t="n">
        <f aca="false">COUNTIFS('Lịch chi tiết'!$E$7:$E$256,$A18,'Lịch chi tiết'!$B$7:$B$256,3,'Lịch chi tiết'!$M$7:$M$256,"Done")</f>
        <v>0</v>
      </c>
      <c r="E18" s="19" t="n">
        <f aca="false">COUNTIFS('Lịch chi tiết'!$E$7:$E$256,$A18,'Lịch chi tiết'!$B$7:$B$256,4,'Lịch chi tiết'!$M$7:$M$256,"Done")</f>
        <v>0</v>
      </c>
      <c r="F18" s="19" t="n">
        <f aca="false">COUNTIFS('Lịch chi tiết'!$E$7:$E$256,$A18,'Lịch chi tiết'!$B$7:$B$256,5,'Lịch chi tiết'!$M$7:$M$256,"Done")</f>
        <v>0</v>
      </c>
      <c r="G18" s="20" t="n">
        <f aca="false">SUM(B18:F18)</f>
        <v>0</v>
      </c>
    </row>
    <row r="19" customFormat="false" ht="15" hidden="false" customHeight="false" outlineLevel="0" collapsed="false">
      <c r="A19" s="18" t="s">
        <v>41</v>
      </c>
      <c r="B19" s="19" t="n">
        <f aca="false">COUNTIFS('Lịch chi tiết'!$E$7:$E$256,$A19,'Lịch chi tiết'!$B$7:$B$256,1,'Lịch chi tiết'!$M$7:$M$256,"Done")</f>
        <v>0</v>
      </c>
      <c r="C19" s="19" t="n">
        <f aca="false">COUNTIFS('Lịch chi tiết'!$E$7:$E$256,$A19,'Lịch chi tiết'!$B$7:$B$256,2,'Lịch chi tiết'!$M$7:$M$256,"Done")</f>
        <v>0</v>
      </c>
      <c r="D19" s="19" t="n">
        <f aca="false">COUNTIFS('Lịch chi tiết'!$E$7:$E$256,$A19,'Lịch chi tiết'!$B$7:$B$256,3,'Lịch chi tiết'!$M$7:$M$256,"Done")</f>
        <v>0</v>
      </c>
      <c r="E19" s="19" t="n">
        <f aca="false">COUNTIFS('Lịch chi tiết'!$E$7:$E$256,$A19,'Lịch chi tiết'!$B$7:$B$256,4,'Lịch chi tiết'!$M$7:$M$256,"Done")</f>
        <v>0</v>
      </c>
      <c r="F19" s="19" t="n">
        <f aca="false">COUNTIFS('Lịch chi tiết'!$E$7:$E$256,$A19,'Lịch chi tiết'!$B$7:$B$256,5,'Lịch chi tiết'!$M$7:$M$256,"Done")</f>
        <v>0</v>
      </c>
      <c r="G19" s="20" t="n">
        <f aca="false">SUM(B19:F19)</f>
        <v>0</v>
      </c>
    </row>
    <row r="20" customFormat="false" ht="15" hidden="false" customHeight="false" outlineLevel="0" collapsed="false">
      <c r="A20" s="18" t="s">
        <v>43</v>
      </c>
      <c r="B20" s="19" t="n">
        <f aca="false">COUNTIFS('Lịch chi tiết'!$E$7:$E$256,$A20,'Lịch chi tiết'!$B$7:$B$256,1,'Lịch chi tiết'!$M$7:$M$256,"Done")</f>
        <v>0</v>
      </c>
      <c r="C20" s="19" t="n">
        <f aca="false">COUNTIFS('Lịch chi tiết'!$E$7:$E$256,$A20,'Lịch chi tiết'!$B$7:$B$256,2,'Lịch chi tiết'!$M$7:$M$256,"Done")</f>
        <v>0</v>
      </c>
      <c r="D20" s="19" t="n">
        <f aca="false">COUNTIFS('Lịch chi tiết'!$E$7:$E$256,$A20,'Lịch chi tiết'!$B$7:$B$256,3,'Lịch chi tiết'!$M$7:$M$256,"Done")</f>
        <v>0</v>
      </c>
      <c r="E20" s="19" t="n">
        <f aca="false">COUNTIFS('Lịch chi tiết'!$E$7:$E$256,$A20,'Lịch chi tiết'!$B$7:$B$256,4,'Lịch chi tiết'!$M$7:$M$256,"Done")</f>
        <v>0</v>
      </c>
      <c r="F20" s="19" t="n">
        <f aca="false">COUNTIFS('Lịch chi tiết'!$E$7:$E$256,$A20,'Lịch chi tiết'!$B$7:$B$256,5,'Lịch chi tiết'!$M$7:$M$256,"Done")</f>
        <v>0</v>
      </c>
      <c r="G20" s="20" t="n">
        <f aca="false">SUM(B20:F20)</f>
        <v>0</v>
      </c>
    </row>
    <row r="21" customFormat="false" ht="15" hidden="false" customHeight="false" outlineLevel="0" collapsed="false">
      <c r="A21" s="21" t="s">
        <v>718</v>
      </c>
      <c r="B21" s="20" t="n">
        <f aca="false">SUM(B16:B20)</f>
        <v>0</v>
      </c>
      <c r="C21" s="20" t="n">
        <f aca="false">SUM(C16:C20)</f>
        <v>0</v>
      </c>
      <c r="D21" s="20" t="n">
        <f aca="false">SUM(D16:D20)</f>
        <v>0</v>
      </c>
      <c r="E21" s="20" t="n">
        <f aca="false">SUM(E16:E20)</f>
        <v>0</v>
      </c>
      <c r="F21" s="20" t="n">
        <f aca="false">SUM(F16:F20)</f>
        <v>0</v>
      </c>
      <c r="G21" s="20" t="n">
        <f aca="false">SUM(G16:G20)</f>
        <v>0</v>
      </c>
    </row>
    <row r="24" customFormat="false" ht="15" hidden="false" customHeight="false" outlineLevel="0" collapsed="false">
      <c r="A24" s="4" t="s">
        <v>764</v>
      </c>
    </row>
    <row r="25" customFormat="false" ht="15" hidden="false" customHeight="false" outlineLevel="0" collapsed="false">
      <c r="A25" s="8" t="s">
        <v>34</v>
      </c>
      <c r="B25" s="8" t="s">
        <v>24</v>
      </c>
      <c r="C25" s="8" t="s">
        <v>26</v>
      </c>
      <c r="D25" s="8" t="s">
        <v>28</v>
      </c>
      <c r="E25" s="8" t="s">
        <v>30</v>
      </c>
      <c r="F25" s="8" t="s">
        <v>32</v>
      </c>
      <c r="G25" s="8" t="s">
        <v>762</v>
      </c>
    </row>
    <row r="26" customFormat="false" ht="15" hidden="false" customHeight="false" outlineLevel="0" collapsed="false">
      <c r="A26" s="18" t="s">
        <v>35</v>
      </c>
      <c r="B26" s="22" t="n">
        <f aca="false">IF($B$2=0,0,B16/$B$2)</f>
        <v>0</v>
      </c>
      <c r="C26" s="22" t="n">
        <f aca="false">IF($B$2=0,0,C16/$B$2)</f>
        <v>0</v>
      </c>
      <c r="D26" s="22" t="n">
        <f aca="false">IF($B$2=0,0,D16/$B$2)</f>
        <v>0</v>
      </c>
      <c r="E26" s="22" t="n">
        <f aca="false">IF($B$2=0,0,E16/$B$2)</f>
        <v>0</v>
      </c>
      <c r="F26" s="22" t="n">
        <f aca="false">IF($B$2=0,0,F16/$B$2)</f>
        <v>0</v>
      </c>
      <c r="G26" s="23" t="n">
        <f aca="false">IF($B$2=0,0,G16/($B$2*5))</f>
        <v>0</v>
      </c>
    </row>
    <row r="27" customFormat="false" ht="15" hidden="false" customHeight="false" outlineLevel="0" collapsed="false">
      <c r="A27" s="18" t="s">
        <v>37</v>
      </c>
      <c r="B27" s="22" t="n">
        <f aca="false">IF($B$2=0,0,B17/$B$2)</f>
        <v>0</v>
      </c>
      <c r="C27" s="22" t="n">
        <f aca="false">IF($B$2=0,0,C17/$B$2)</f>
        <v>0</v>
      </c>
      <c r="D27" s="22" t="n">
        <f aca="false">IF($B$2=0,0,D17/$B$2)</f>
        <v>0</v>
      </c>
      <c r="E27" s="22" t="n">
        <f aca="false">IF($B$2=0,0,E17/$B$2)</f>
        <v>0</v>
      </c>
      <c r="F27" s="22" t="n">
        <f aca="false">IF($B$2=0,0,F17/$B$2)</f>
        <v>0</v>
      </c>
      <c r="G27" s="23" t="n">
        <f aca="false">IF($B$2=0,0,G17/($B$2*5))</f>
        <v>0</v>
      </c>
    </row>
    <row r="28" customFormat="false" ht="15" hidden="false" customHeight="false" outlineLevel="0" collapsed="false">
      <c r="A28" s="18" t="s">
        <v>39</v>
      </c>
      <c r="B28" s="22" t="n">
        <f aca="false">IF($B$2=0,0,B18/$B$2)</f>
        <v>0</v>
      </c>
      <c r="C28" s="22" t="n">
        <f aca="false">IF($B$2=0,0,C18/$B$2)</f>
        <v>0</v>
      </c>
      <c r="D28" s="22" t="n">
        <f aca="false">IF($B$2=0,0,D18/$B$2)</f>
        <v>0</v>
      </c>
      <c r="E28" s="22" t="n">
        <f aca="false">IF($B$2=0,0,E18/$B$2)</f>
        <v>0</v>
      </c>
      <c r="F28" s="22" t="n">
        <f aca="false">IF($B$2=0,0,F18/$B$2)</f>
        <v>0</v>
      </c>
      <c r="G28" s="23" t="n">
        <f aca="false">IF($B$2=0,0,G18/($B$2*5))</f>
        <v>0</v>
      </c>
    </row>
    <row r="29" customFormat="false" ht="15" hidden="false" customHeight="false" outlineLevel="0" collapsed="false">
      <c r="A29" s="18" t="s">
        <v>41</v>
      </c>
      <c r="B29" s="22" t="n">
        <f aca="false">IF($B$2=0,0,B19/$B$2)</f>
        <v>0</v>
      </c>
      <c r="C29" s="22" t="n">
        <f aca="false">IF($B$2=0,0,C19/$B$2)</f>
        <v>0</v>
      </c>
      <c r="D29" s="22" t="n">
        <f aca="false">IF($B$2=0,0,D19/$B$2)</f>
        <v>0</v>
      </c>
      <c r="E29" s="22" t="n">
        <f aca="false">IF($B$2=0,0,E19/$B$2)</f>
        <v>0</v>
      </c>
      <c r="F29" s="22" t="n">
        <f aca="false">IF($B$2=0,0,F19/$B$2)</f>
        <v>0</v>
      </c>
      <c r="G29" s="23" t="n">
        <f aca="false">IF($B$2=0,0,G19/($B$2*5))</f>
        <v>0</v>
      </c>
    </row>
    <row r="30" customFormat="false" ht="15" hidden="false" customHeight="false" outlineLevel="0" collapsed="false">
      <c r="A30" s="18" t="s">
        <v>43</v>
      </c>
      <c r="B30" s="22" t="n">
        <f aca="false">IF($B$2=0,0,B20/$B$2)</f>
        <v>0</v>
      </c>
      <c r="C30" s="22" t="n">
        <f aca="false">IF($B$2=0,0,C20/$B$2)</f>
        <v>0</v>
      </c>
      <c r="D30" s="22" t="n">
        <f aca="false">IF($B$2=0,0,D20/$B$2)</f>
        <v>0</v>
      </c>
      <c r="E30" s="22" t="n">
        <f aca="false">IF($B$2=0,0,E20/$B$2)</f>
        <v>0</v>
      </c>
      <c r="F30" s="22" t="n">
        <f aca="false">IF($B$2=0,0,F20/$B$2)</f>
        <v>0</v>
      </c>
      <c r="G30" s="23" t="n">
        <f aca="false">IF($B$2=0,0,G20/($B$2*5))</f>
        <v>0</v>
      </c>
    </row>
  </sheetData>
  <conditionalFormatting sqref="B16:F20">
    <cfRule type="cellIs" priority="2" operator="greaterThanOrEqual" aboveAverage="0" equalAverage="0" bottom="0" percent="0" rank="0" text="" dxfId="9">
      <formula>$B$2</formula>
    </cfRule>
  </conditionalFormatting>
  <conditionalFormatting sqref="B26:G30">
    <cfRule type="cellIs" priority="3" operator="greaterThanOrEqual" aboveAverage="0" equalAverage="0" bottom="0" percent="0" rank="0" text="" dxfId="9">
      <formula>1</formula>
    </cfRule>
    <cfRule type="expression" priority="4" aboveAverage="0" equalAverage="0" bottom="0" percent="0" rank="0" text="" dxfId="10">
      <formula>AND(B26&gt;0,B26&lt;0.5)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2026-10-21T01:16:26Z</dcterms:created>
  <dc:creator>openpyxl</dc:creator>
  <dc:description/>
  <dc:language>en-US</dc:language>
  <cp:lastModifiedBy/>
  <dcterms:modified xsi:type="dcterms:W3CDTF">2026-10-21T01:16:27Z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